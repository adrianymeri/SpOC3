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Seeds" sheetId="2" state="visible" r:id="rId4"/>
    <sheet name="Instances" sheetId="3" state="visible" r:id="rId5"/>
    <sheet name="Operator ablation" sheetId="4" state="visible" r:id="rId6"/>
    <sheet name="Budget sweep" sheetId="5" state="visible" r:id="rId7"/>
    <sheet name="Notes and provenance" sheetId="6" state="visible" r:id="rId8"/>
    <sheet name="Audit" sheetId="7" state="visible" r:id="rId9"/>
  </sheets>
  <definedNames>
    <definedName function="false" hidden="false" localSheetId="6" name="_xlnm.Print_Titles" vbProcedure="false">Audit!$4:$4</definedName>
    <definedName function="false" hidden="false" localSheetId="0" name="_xlnm.Print_Titles" vbProcedure="false">Results!$4:$4</definedName>
    <definedName function="false" hidden="false" localSheetId="1" name="_xlnm.Print_Titles" vbProcedure="false">Seeds!$4:$5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<sst xmlns="http://schemas.openxmlformats.org/spreadsheetml/2006/main" count="518" uniqueCount="371">
  <si>
    <t xml:space="preserve">SpOC-3 Torso Decompositions — computational results</t>
  </si>
  <si>
    <t xml:space="preserve">Prepared for</t>
  </si>
  <si>
    <t xml:space="preserve">AlbShkenca 2026</t>
  </si>
  <si>
    <t xml:space="preserve">Scores are negative hypervolume: lower is better. 1,200 s per instance per seed, 3 seeds; the method columns show the best of 3. Verdicts are read from each method's own three seeds (Seeds sheet). Every figure is regenerated from harness/*.csv — see “Notes and provenance”.</t>
  </si>
  <si>
    <t xml:space="preserve">#</t>
  </si>
  <si>
    <t xml:space="preserve">Instance</t>
  </si>
  <si>
    <t xml:space="preserve">Provable ceiling</t>
  </si>
  <si>
    <t xml:space="preserve">fcmaes</t>
  </si>
  <si>
    <t xml:space="preserve">Team HRI</t>
  </si>
  <si>
    <t xml:space="preserve">Spacekangaroos</t>
  </si>
  <si>
    <t xml:space="preserve">Hill Climbing</t>
  </si>
  <si>
    <t xml:space="preserve">min-degree ×8</t>
  </si>
  <si>
    <t xml:space="preserve">Best in study</t>
  </si>
  <si>
    <t xml:space="preserve">Best method</t>
  </si>
  <si>
    <t xml:space="preserve">Margin over 2nd</t>
  </si>
  <si>
    <t xml:space="preserve">Verdict
(seeds)</t>
  </si>
  <si>
    <t xml:space="preserve">Gap to ceiling</t>
  </si>
  <si>
    <t xml:space="preserve">min-degree share</t>
  </si>
  <si>
    <t xml:space="preserve">ESA leaderboard</t>
  </si>
  <si>
    <t xml:space="preserve">Median
winner</t>
  </si>
  <si>
    <t xml:space="preserve">Seed gap</t>
  </si>
  <si>
    <t xml:space="preserve">Floor rule
(v3)</t>
  </si>
  <si>
    <t xml:space="preserve">Sparse grid-and-pendant graphs · n = 1,357 · 2,280–2,282 edges · tw ≥ 5 — ceiling nearly reached, no method separates</t>
  </si>
  <si>
    <t xml:space="preserve">small-graph</t>
  </si>
  <si>
    <t xml:space="preserve">synth-1</t>
  </si>
  <si>
    <t xml:space="preserve">n/a</t>
  </si>
  <si>
    <t xml:space="preserve">synth-2</t>
  </si>
  <si>
    <t xml:space="preserve">synth-3</t>
  </si>
  <si>
    <t xml:space="preserve">Rewired medium graphs · n = 1,399 · 13,799 edges · tw ≥ 63–73 — widest apparent gap, but the ceiling here is the loosest</t>
  </si>
  <si>
    <t xml:space="preserve">medium-graph</t>
  </si>
  <si>
    <t xml:space="preserve">synth-4</t>
  </si>
  <si>
    <t xml:space="preserve">synth-5</t>
  </si>
  <si>
    <t xml:space="preserve">Clique-pinned dense graphs · n = 2,426 · 253,895 edges · tw pinned to 499–500 — the only family with provably real headroom</t>
  </si>
  <si>
    <t xml:space="preserve">large-graph</t>
  </si>
  <si>
    <t xml:space="preserve">—</t>
  </si>
  <si>
    <t xml:space="preserve">synth-6</t>
  </si>
  <si>
    <t xml:space="preserve">synth-7</t>
  </si>
  <si>
    <t xml:space="preserve">Significance floor</t>
  </si>
  <si>
    <t xml:space="preserve">HV. Shown for comparison only: the most Hill Climbing's best-of-3 moved between two full sessions on one instance (synth-4), applied in v3 to every method and row. It drives the Floor rule (v3) column; the Verdict column uses each method's own seeds instead.</t>
  </si>
  <si>
    <t xml:space="preserve">Rows won</t>
  </si>
  <si>
    <t xml:space="preserve">of 10</t>
  </si>
  <si>
    <t xml:space="preserve">best of 3, all ten rows</t>
  </si>
  <si>
    <t xml:space="preserve">median of 3, all ten rows</t>
  </si>
  <si>
    <t xml:space="preserve">resolved rows only</t>
  </si>
  <si>
    <t xml:space="preserve">clearing 7,881 HV (v3 rule)</t>
  </si>
  <si>
    <t xml:space="preserve">instances it scored on at all</t>
  </si>
  <si>
    <t xml:space="preserve">— in a method column = ran the full 1,200 s and returned no point under the 500-width cap, not a missing run. “Best in study” is the best of the five columns to its left; it is not the ESA leaderboard figure, which is in column O and was set under a different protocol. Seed gap = the runner-up's best seed minus the winner's worst seed: positive means every seed of the winner beats every seed of every rival (min-degree ×8 is one value). A row is resolved when that holds and the median names the same winner. Read “Notes and provenance” before quoting any row.</t>
  </si>
  <si>
    <t xml:space="preserve">Seeds — every run behind the Results sheet</t>
  </si>
  <si>
    <t xml:space="preserve">Three seeds per method and instance, 1,200 s each, every one re-scored through esa_eval.py. Scores are negative hypervolume, so lower is better: the median and the worst seed are read here, the best is on Results. min-degree ×8 is one deterministic value (best of eight tie-break seeds). — marks a run that returned no point under the 500-width cap. Source: harness/benchmark-*.csv; harness/robustness.py prints the same verdicts.</t>
  </si>
  <si>
    <t xml:space="preserve">Median of 3</t>
  </si>
  <si>
    <t xml:space="preserve">Worst of 3</t>
  </si>
  <si>
    <t xml:space="preserve">seed 1</t>
  </si>
  <si>
    <t xml:space="preserve">seed 2</t>
  </si>
  <si>
    <t xml:space="preserve">seed 3</t>
  </si>
  <si>
    <t xml:space="preserve">seeds 1–8</t>
  </si>
  <si>
    <t xml:space="preserve">Spreads (worst − best) run from 9 HV (Hill Climbing, small-graph, second session) to 281,976 HV (fcmaes, synth-7). Best of three rewards spread: on small-graph and synth-5 it names a different winner than the median does.</t>
  </si>
  <si>
    <t xml:space="preserve">The ten instances — size, structure, and how much room is left</t>
  </si>
  <si>
    <t xml:space="preserve">Within each family n is identical, the edge counts agree to within two, and only the structure differs, so a ranking that changes between families is a statement about structure rather than size. “Provable ceiling” is bound.py --all: no submission can ever pass it.</t>
  </si>
  <si>
    <t xml:space="preserve">Family</t>
  </si>
  <si>
    <t xml:space="preserve">n</t>
  </si>
  <si>
    <t xml:space="preserve">Edges</t>
  </si>
  <si>
    <t xml:space="preserve">tw ≥</t>
  </si>
  <si>
    <t xml:space="preserve">Legal points from
a random ordering</t>
  </si>
  <si>
    <t xml:space="preserve">Legal points from
min-degree</t>
  </si>
  <si>
    <t xml:space="preserve">Origin</t>
  </si>
  <si>
    <t xml:space="preserve">Sparse</t>
  </si>
  <si>
    <t xml:space="preserve">ESA SpOC-3 official</t>
  </si>
  <si>
    <t xml:space="preserve">generate.py — 10×115 grid + 207 pendants, seed 1</t>
  </si>
  <si>
    <t xml:space="preserve">generate.py — same recipe, seed 2</t>
  </si>
  <si>
    <t xml:space="preserve">generate.py — same recipe, seed 3</t>
  </si>
  <si>
    <t xml:space="preserve">Rewired medium</t>
  </si>
  <si>
    <t xml:space="preserve">rewire of medium-graph, seed 1 (1.5% edge overlap)</t>
  </si>
  <si>
    <t xml:space="preserve">rewire of medium-graph, seed 2 (1.5% edge overlap)</t>
  </si>
  <si>
    <t xml:space="preserve">Clique-pinned</t>
  </si>
  <si>
    <t xml:space="preserve">ESA SpOC-3 official — planted 500-clique</t>
  </si>
  <si>
    <t xml:space="preserve">rewire of large-graph, seed 1 — cliques 500/400/300</t>
  </si>
  <si>
    <t xml:space="preserve">rewire of large-graph, seed 2 — cliques 500/400/300</t>
  </si>
  <si>
    <t xml:space="preserve">Reading the ceiling. A gap is two unknowns added together — how far the best result is from the optimum, plus how far the bound is from the optimum — and they cannot be separated. Where the gap is small both must be small, so the reading is definite: the sparse family is within ~1.2% of a provable ceiling and is effectively solved. Where it is wide, suspect the bound: on 1,399 vertices a treewidth lower bound of 63–73 subtracts only 2,091–2,806 from n² = 1,957,201, so the medium family's 14–19% is mostly slack in the bound. The three 2,426-vertex instances are the exception — their treewidth is pinned to 499 or 500, essentially known exactly, so their gap is real headroom. That is where a better construction pays, and where it is measured paying (README §15.3).</t>
  </si>
  <si>
    <t xml:space="preserve">Why the starting point is equalised. On six of the ten instances a random ordering yields no legal point at all: somewhere in its elimination a vertex exceeds the 500-width cap. ESA's published evaluator then scores the vector as width 501 — and this harness, more strictly, discards it — and every neighbouring ordering breaks the cap too, so a local search starting there stands on a plateau with nothing to climb. Both permutation-space solvers therefore start from the same min-degree construction, computed fresh inside each run. The two weight-space solvers never see a random ordering: their first candidate is already sorted by a degree-and-spectral score (README §10.4).</t>
  </si>
  <si>
    <t xml:space="preserve">Operator ablation — seventeen move operators against the baseline's own noise</t>
  </si>
  <si>
    <t xml:space="preserve">Each row is hill climbing with its move pool restricted to one operator, 1,200 s × 3 seeds × 10 instances, best of 3, summed. Source: harness/ablation_more-*.csv via ablation_more.py.</t>
  </si>
  <si>
    <t xml:space="preserve">Baseline sample 1</t>
  </si>
  <si>
    <t xml:space="preserve">benchmark-hill_climbing.csv</t>
  </si>
  <si>
    <t xml:space="preserve">Baseline sample 2</t>
  </si>
  <si>
    <t xml:space="preserve">benchmark-hill_climbing-v2.csv — the sample this ablation was scored against</t>
  </si>
  <si>
    <t xml:space="preserve">Re-sample error</t>
  </si>
  <si>
    <t xml:space="preserve">the same method run twice. Any effect smaller than this is not established.</t>
  </si>
  <si>
    <t xml:space="preserve">Operator</t>
  </si>
  <si>
    <t xml:space="preserve">Total, 10 instances</t>
  </si>
  <si>
    <t xml:space="preserve">vs baseline
sample 2</t>
  </si>
  <si>
    <t xml:space="preserve">vs baseline
sample 1</t>
  </si>
  <si>
    <t xml:space="preserve">Sign flips</t>
  </si>
  <si>
    <t xml:space="preserve">Wins</t>
  </si>
  <si>
    <t xml:space="preserve">Ties</t>
  </si>
  <si>
    <t xml:space="preserve">Losses</t>
  </si>
  <si>
    <t xml:space="preserve">Accepted
moves</t>
  </si>
  <si>
    <t xml:space="preserve">× re-sample
error</t>
  </si>
  <si>
    <t xml:space="preserve">Verdict</t>
  </si>
  <si>
    <t xml:space="preserve">Note</t>
  </si>
  <si>
    <t xml:space="preserve">k_opt_aimed</t>
  </si>
  <si>
    <t xml:space="preserve">aimed</t>
  </si>
  <si>
    <t xml:space="preserve">the only variant that clears the v3 floor anywhere — on synth-4 and synth-5; at the seed level it wins nowhere</t>
  </si>
  <si>
    <t xml:space="preserve">three_opt</t>
  </si>
  <si>
    <t xml:space="preserve">k-opt</t>
  </si>
  <si>
    <t xml:space="preserve">corner_shuffle</t>
  </si>
  <si>
    <t xml:space="preserve">corner</t>
  </si>
  <si>
    <t xml:space="preserve">or_opt</t>
  </si>
  <si>
    <t xml:space="preserve">min_fill_aimed</t>
  </si>
  <si>
    <t xml:space="preserve">all 17, competing</t>
  </si>
  <si>
    <t xml:space="preserve">all</t>
  </si>
  <si>
    <t xml:space="preserve">the whole pool drawn uniformly</t>
  </si>
  <si>
    <t xml:space="preserve">simplicial_pull</t>
  </si>
  <si>
    <t xml:space="preserve">structure</t>
  </si>
  <si>
    <t xml:space="preserve">k_opt_rotate</t>
  </si>
  <si>
    <t xml:space="preserve">three_opt_aimed</t>
  </si>
  <si>
    <t xml:space="preserve">min_fill_window</t>
  </si>
  <si>
    <t xml:space="preserve">min-fill</t>
  </si>
  <si>
    <t xml:space="preserve">degeneracy_window</t>
  </si>
  <si>
    <t xml:space="preserve">degeneracy_aimed</t>
  </si>
  <si>
    <t xml:space="preserve">or_opt_aimed</t>
  </si>
  <si>
    <t xml:space="preserve">corner_earlier</t>
  </si>
  <si>
    <t xml:space="preserve">never fires: zero accepted moves in 30 runs</t>
  </si>
  <si>
    <t xml:space="preserve">What the table says. Thirteen of the fourteen variants do not separate from the baseline on a single instance: ten ties, no losses, no wins. The four that come out ahead of baseline sample 2 all come out behind baseline sample 1 — the Sign flips column — so their sign is a property of which run of the control was drawn, not of the operator. The largest effect in the table is 0.7× the amount the baseline differs from itself. An effect that changes sign when the control is re-drawn was never there.</t>
  </si>
  <si>
    <t xml:space="preserve">Wins, ties and losses count instances, not seeds: a win is an instance where the variant beats baseline sample 2 by at least the per-instance floor of 7,881 HV, a loss is the same margin the other way. Accepted moves are summed over all 30 runs — corner_earlier accepted nothing at all in 36,000 seconds of searching.</t>
  </si>
  <si>
    <t xml:space="preserve">At the seed level the answer is the same. Against both control samples pooled — six seeds — no arm's three seeds beat all six control seeds on any instance, k_opt_aimed included; most arms lose three or four instances that way, by small margins (harness/robustness.py, block C). 48 of the 420 runs overran the 1,200 s budget because the machine stalled — small-graph seed 3, for one, ran 4,275 s for every arm at once. A stall costs a wall-clock-bounded run search time, so it biases against the arms, not for them.</t>
  </si>
  <si>
    <t xml:space="preserve">Budget sweep — does more time let search catch the construction?</t>
  </si>
  <si>
    <t xml:space="preserve">Four arms × three budgets × ten instances × three seeds, best of 3, summed — all on one machine so budget is the only thing that varies. Three budgets rather than two, because two points cannot show the shape of the curve. Source: results/budget_sweep.csv via run_budget_sweep.sh and merge_budget_sweep.py.</t>
  </si>
  <si>
    <t xml:space="preserve">Arm</t>
  </si>
  <si>
    <t xml:space="preserve">Kind</t>
  </si>
  <si>
    <t xml:space="preserve">1,200 s</t>
  </si>
  <si>
    <t xml:space="preserve">3,600 s</t>
  </si>
  <si>
    <t xml:space="preserve">12,000 s</t>
  </si>
  <si>
    <t xml:space="preserve">Gained over
10× budget</t>
  </si>
  <si>
    <t xml:space="preserve">Behind construction
at 12,000 s</t>
  </si>
  <si>
    <t xml:space="preserve">What it is</t>
  </si>
  <si>
    <t xml:space="preserve">grasp_front</t>
  </si>
  <si>
    <t xml:space="preserve">construction</t>
  </si>
  <si>
    <t xml:space="preserve">the construction lever — what search has to catch</t>
  </si>
  <si>
    <t xml:space="preserve">hill_climbing</t>
  </si>
  <si>
    <t xml:space="preserve">search</t>
  </si>
  <si>
    <t xml:space="preserve">the published four-operator baseline</t>
  </si>
  <si>
    <t xml:space="preserve">all 17</t>
  </si>
  <si>
    <t xml:space="preserve">the seventeen-operator pool</t>
  </si>
  <si>
    <t xml:space="preserve">hc_bottleneck</t>
  </si>
  <si>
    <t xml:space="preserve">the move-pool lever</t>
  </si>
  <si>
    <t xml:space="preserve">How far search is from the construction</t>
  </si>
  <si>
    <t xml:space="preserve">lead over</t>
  </si>
  <si>
    <t xml:space="preserve">lead vs construction
mean, 12,000 s</t>
  </si>
  <si>
    <t xml:space="preserve">gained over
10× budget</t>
  </si>
  <si>
    <t xml:space="preserve">gain ÷ lead</t>
  </si>
  <si>
    <t xml:space="preserve">What it answers. More time helps search a little: hill climbing gains 33,043 HV from 1,200 s to 12,000 s — about 1.5× the 21,519 HV its own ten-instance total moves when it is simply run again. The construction leads every search arm at every budget, by 269,607 to 392,184 HV, and ten times the budget recovers about a tenth of that lead at best (10% for hill climbing, 3% for the move pool, 2% for all 17 operators, against the construction's mean). grasp_front's own total moves by 89,534 HV across the three budgets, but it draws different constructions at each budget, and with one draw per budget that movement cannot be read as a trend. An earlier reading of this sheet counted it as search closing the gap — “31% closed”, a crossover “near thirty times the budget, about ten hours” — and is withdrawn: 89,534 of the 122,577 HV it called closing was the construction getting a worse draw. No crossover is in sight at 10×, and three points cannot say where one would be (harness/robustness.py, block D).</t>
  </si>
  <si>
    <t xml:space="preserve">A second reading. The seventeen-operator pool gains 5,558 HV over the same 10×, against hill climbing's 33,043, and goes from 1,883 HV ahead of it at 1,200 s to 25,602 HV behind at 12,000 s. That is suggestive, not established — 25,602 is 1.2× the baseline's own re-draw and rests on one sample per budget — but nothing here suggests more operators help when they are given more time.</t>
  </si>
  <si>
    <t xml:space="preserve">Scores are negative hypervolume, so a more negative total is better: a positive “gained over 10× budget” means the arm improved with more time, and a negative one — grasp_front — means it scored worse.</t>
  </si>
  <si>
    <t xml:space="preserve">Notes and provenance</t>
  </si>
  <si>
    <t xml:space="preserve">Read this before quoting any row of Results. Everything below is traceable to a file in this repository; the rule the project keeps is that a number which does not appear in the output of report.py or robustness.py does not belong in the sheet.</t>
  </si>
  <si>
    <t xml:space="preserve">Protocol</t>
  </si>
  <si>
    <t xml:space="preserve">1,200 s per instance per seed, 3 seeds; the method columns report the best of 3 and the verdicts read all three (Seeds sheet). fcmaes, Team HRI, Hill Climbing and min-degree run on one CPU core each via harness/bench_one.py. Spacekangaroos is the real cuda-torso entry on a Kaggle NVIDIA T4 at batch 1,024, reduced to 512 at n = 2,426 so the two B×N×N bool tensors fit in GPU memory (harness/spoc3_benchmark.ipynb). Every result, whatever produced it, is re-scored and validated through the same esa_eval.py, so the columns are comparable. Four runs fall outside the 1,150–1,400 s window harness/status.sh flags (Hill Climbing synth-6 seeds 1–2; fcmaes and Team HRI synth-7 seed 1); none of them supplies a best-of-3 value.</t>
  </si>
  <si>
    <t xml:space="preserve">Equal wall-clock is not equal computation. Left alone, the competitors' numerical libraries kept about nine cores busy (929% CPU) while Hill Climbing, pure Python, uses one. So every CPU solver here is pinned to one core: run_mac.sh sets the thread limits and bench_one.py refuses to run without them. Pinning has a price, stated so it is not mistaken for a weakness of the method: on small-graph at 30 s it costs fast-cma-es about 20% of its evaluations (README §10.5). Spacekangaroos runs on its own GPU and is not affected.</t>
  </si>
  <si>
    <t xml:space="preserve">Where each column comes from</t>
  </si>
  <si>
    <t xml:space="preserve">Column</t>
  </si>
  <si>
    <t xml:space="preserve">Source file</t>
  </si>
  <si>
    <t xml:space="preserve">bound.py --all</t>
  </si>
  <si>
    <t xml:space="preserve">The most negative score any method could ever report, from tw(G) ≤ tw(torso(G,S)) + t with a cheap treewidth lower bound. Provable, deterministic, independent of every solver here.</t>
  </si>
  <si>
    <t xml:space="preserve">harness/benchmark-fast_cma_es.csv</t>
  </si>
  <si>
    <t xml:space="preserve">leaderboard-references/cmaes.py — separable CMA-ES over weight vectors, ported from the fast-cma-es approach. Best of seeds 1–3.</t>
  </si>
  <si>
    <t xml:space="preserve">harness/benchmark-hri.csv</t>
  </si>
  <si>
    <t xml:space="preserve">leaderboard-references/hri_lns.py — multi-objective LNS reimplemented from their paper; no source was published. Not their code. Best of seeds 1–3.</t>
  </si>
  <si>
    <t xml:space="preserve">harness/benchmark-spacekangaroos.csv</t>
  </si>
  <si>
    <t xml:space="preserve">The winning entry's own cuda-torso, run unmodified except for a 32-bit overflow fix in libeval.cu (adj_offset int → size_t) and the batch reduction above. Best of seeds 1–3.</t>
  </si>
  <si>
    <t xml:space="preserve">harness/benchmark-hill_climbing.csv</t>
  </si>
  <si>
    <t xml:space="preserve">hill_climbing.py, this study's method. A second independent full-budget sample is in benchmark-hill_climbing-v2.csv; the difference between the two is the significance floor below. Best of seeds 1–3.</t>
  </si>
  <si>
    <t xml:space="preserve">harness/benchmark-min_degree-x8.csv</t>
  </si>
  <si>
    <t xml:space="preserve">Best of eight greedy min-degree constructions with random tie-breaking, seeds 1–8 — what Hill Climbing builds before it searches. Tie-breaking is random, so the seed set is part of the result. Regenerate with harness/min_degree_x8.py.</t>
  </si>
  <si>
    <t xml:space="preserve">Best in study, Best method,
Margin, Verdict, Median winner,
Seed gap, Floor rule, Gap,
min-degree share</t>
  </si>
  <si>
    <t xml:space="preserve">— computed in-sheet, over the method columns and the Seeds sheet</t>
  </si>
  <si>
    <t xml:space="preserve">Live formulas. Nothing is typed in: correct a seed on the Seeds sheet or a method cell and every verdict re-derives. Verdict = resolved when the median names the same winner as the best of 3 and every seed of the winner beats every seed of every rival (Seed gap &gt; 0).</t>
  </si>
  <si>
    <t xml:space="preserve">published ESA SpOC-3 leaderboard</t>
  </si>
  <si>
    <t xml:space="preserve">Top score on the official three instances only, set under the leaderboard's own protocol — not this benchmark's 1,200 s single-core budget, and not comparable to the columns to its left. The seven synthetic instances are new and have no leaderboard, which is why they read n/a. Kept in the sheet as an external reference point and nothing more.</t>
  </si>
  <si>
    <t xml:space="preserve">How big a difference has to be</t>
  </si>
  <si>
    <t xml:space="preserve">Every method ran three seeds, and Hill Climbing was run twice at full budget, so two kinds of noise can be measured: the spread of each method's own seeds, and how far a whole session can move. They answer different questions, and neither is a single number that can judge every row:</t>
  </si>
  <si>
    <t xml:space="preserve">Figure</t>
  </si>
  <si>
    <t xml:space="preserve">Value</t>
  </si>
  <si>
    <t xml:space="preserve">Use it for</t>
  </si>
  <si>
    <t xml:space="preserve">Each method's own three seeds</t>
  </si>
  <si>
    <t xml:space="preserve">Seeds sheet</t>
  </si>
  <si>
    <t xml:space="preserve">A single row. Seed spreads run from 9 HV to 281,976 HV depending on method and instance — four orders of magnitude — which is why one floor cannot judge every row. A row is resolved only when every seed of the winner beats every seed of every rival (an exact rank test, p = 0.05 with three seeds a side) and the median names the same winner.</t>
  </si>
  <si>
    <t xml:space="preserve">Worst single instance moved,
between the two sessions</t>
  </si>
  <si>
    <t xml:space="preserve">7,881 HV</t>
  </si>
  <si>
    <t xml:space="preserve">Nothing on its own. It is one method's noise on one instance (synth-4) and exactly what synth-4's own 13,214 HV seed spread predicts; reshuffling seeds between sessions finds no per-instance session effect. Kept as the Floor rule (v3) column so the change of rule stays visible.</t>
  </si>
  <si>
    <t xml:space="preserve">Ten-instance total moved,
between the two sessions</t>
  </si>
  <si>
    <t xml:space="preserve">21,519 HV</t>
  </si>
  <si>
    <t xml:space="preserve">A ten-instance sum, such as an ablation's net HV. Reshuffling Hill Climbing's six seeds per instance between the sessions moves the total that far only 4.6% of the time (robustness.py, block B): sessions do differ a little, so an aggregate claim needs a control that was actually run again. (The median within-run seed spread of the Block-2 solvers, 1,528 HV, is a per-instance figure and belongs against neither.)</t>
  </si>
  <si>
    <t xml:space="preserve">Judged on their own seeds, five of the ten rows are unresolved: small-graph (best of 3 names Spacekangaroos, the median names Team HRI), synth-1, synth-2 (the median names Hill Climbing), medium-graph (Team HRI's seeds span 80,376 HV) and synth-5 (best of 3 names Team HRI on one outlier seed; the median names fcmaes). Resolved: synth-3 (Hill Climbing, by 71 HV over its own starting point — consistent but negligible), synth-4 (Team HRI) and the three dense rows (fcmaes). The v3 rule, one 7,881 HV floor for everything, got four of the ten rows wrong: it called synth-3 and synth-4 ties and medium-graph and synth-5 separated. An earlier note said the baseline differs from itself by fourteen times the seed spread; that compared a ten-instance sum with a one-instance median and is withdrawn.</t>
  </si>
  <si>
    <t xml:space="preserve">synth-3 is the clearest case. The 20-minute search reaches −1,819,944; eight min-degree constructions reach −1,819,873 in under a second. The search contributes 71 HV, or 0.004% — and does so on every seed, which is why the row counts as resolved and why resolved is not the same as important. On the sparse family the bi-objective problem collapses in practice to minimising the width of the whole graph, because a single point at t = 0 carries 99.99% of the construction's score on small-graph — so there is almost nothing left for any search to win there (README §15.4).</t>
  </si>
  <si>
    <t xml:space="preserve">What this table does not establish</t>
  </si>
  <si>
    <t xml:space="preserve">Three seeds per cell, and the method columns report the best of three. min() over three samples is a biased estimator and the bias is not neutral between methods: it rewards whichever has the higher variance, because best-of-k climbs with spread. The Seeds sheet shows it happening — on small-graph and synth-5 the best of three crowns a different method than the median — which is why the verdicts read all three seeds and not the best.</t>
  </si>
  <si>
    <t xml:space="preserve">Three seeds is the smallest sample that can separate at all. Complete separation of three seeds against three happens by chance with probability 1/20, so a resolved row is a p = 0.05 statement: strong where the seed gap is large (the dense rows clear it by 121,598–425,344 HV), to be held loosely where it is not (synth-4 by 2,128 HV, synth-3 by 24 HV).</t>
  </si>
  <si>
    <t xml:space="preserve">Runs are not reproducible, only re-samplable. The climb loop is wall-clock-bounded, so iteration counts differ between sessions and no run here can be reproduced exactly. An attempt to verify a run by re-running it mismatched on 29 of 30 rows, and the check, not the harness, was wrong.</t>
  </si>
  <si>
    <t xml:space="preserve">Ten instances, and the dense family is three variants of one graph. large-graph, synth-6 and synth-7 all carry a planted 500-clique, and that family is where every large margin in this table is made. Two of the three were generated to resemble the first, so they are not independently chosen. Any claim about dense instances rests on a thin base.</t>
  </si>
  <si>
    <t xml:space="preserve">Half the rows are unresolved. The Verdict column marks them and the third scoreboard line counts them; the table supports five findings, not ten — and not the same five the v3 floor picked.</t>
  </si>
  <si>
    <t xml:space="preserve">One budget per cell. Everything in Results is 1,200 s, and the construction is a one-off cost paid at the start while the search is what the remaining budget buys — so the ratio between them is a function of the budget. That is no longer an open question: the Budget sweep sheet measures it at 1,200 / 3,600 / 12,000 s and reports what it found.</t>
  </si>
  <si>
    <t xml:space="preserve">Previous revision (v3)</t>
  </si>
  <si>
    <t xml:space="preserve">Changed</t>
  </si>
  <si>
    <t xml:space="preserve">From</t>
  </si>
  <si>
    <t xml:space="preserve">To</t>
  </si>
  <si>
    <t xml:space="preserve">min-degree ×8 column</t>
  </si>
  <si>
    <t xml:space="preserve">no committed source file; 4 of 10 cells not reproducible</t>
  </si>
  <si>
    <t xml:space="preserve">harness/benchmark-min_degree-x8.csv + min_degree_x8.py, seeds 1–8. small-graph −1,813,181→−1,814,518 · medium-graph −1,615,495→−1,606,387 · synth-4 −1,553,005→−1,554,095 · synth-5 −1,560,655→−1,558,465. No winner and no verdict changes.</t>
  </si>
  <si>
    <t xml:space="preserve">2,470 HV, described as the median spread across seeds — a figure that appears in no source file</t>
  </si>
  <si>
    <t xml:space="preserve">7,881 HV, the per-instance between-run figure from README §13.1, in an editable cell that drives every Verdict.</t>
  </si>
  <si>
    <t xml:space="preserve">3 rows marked, by hand</t>
  </si>
  <si>
    <t xml:space="preserve">5 rows, decided by formula. synth-4 and small-graph were missing. synth-3's margin was given as 2,304 HV against Team HRI when second place is min-degree ×8.</t>
  </si>
  <si>
    <t xml:space="preserve">“Best Known”</t>
  </si>
  <si>
    <t xml:space="preserve">one column holding the ESA leaderboard top on three rows and the in-study best on seven — two different things under two different protocols</t>
  </si>
  <si>
    <t xml:space="preserve">split into Best in study (formula over the five method columns) and ESA leaderboard (external, official three instances only).</t>
  </si>
  <si>
    <t xml:space="preserve">“Gap from Best”</t>
  </si>
  <si>
    <t xml:space="preserve">labelled as the gap from best, but the formula read column I and so silently reported Hill Climbing's gap. Its reference column was empty, so it rendered blank throughout</t>
  </si>
  <si>
    <t xml:space="preserve">Gap to ceiling — best in study against the provable bound from bound.py. Plus min-degree share, which is the construction-versus-search comparison the write-up is about.</t>
  </si>
  <si>
    <t xml:space="preserve">Upper Bound column</t>
  </si>
  <si>
    <t xml:space="preserve">present and completely empty</t>
  </si>
  <si>
    <t xml:space="preserve">filled for all ten instances from bound.py --all, and the spine of the Instances sheet.</t>
  </si>
  <si>
    <t xml:space="preserve">Row order</t>
  </si>
  <si>
    <t xml:space="preserve">official three, then synth-1–7</t>
  </si>
  <si>
    <t xml:space="preserve">grouped into the three structural families, each a set of matched instances with identical n and edge count. The ranking changes between families; that is the result.</t>
  </si>
  <si>
    <t xml:space="preserve">Readability</t>
  </si>
  <si>
    <t xml:space="preserve">every data cell filled dark teal #356854 with theme-black text, header row unfilled; footnotes living inside the table body as instance rows 11–18; three Excel tables stretched over 290 empty rows; no frozen header</t>
  </si>
  <si>
    <t xml:space="preserve">dark band reserved for the header, light zebra body, winners highlighted, notes moved here, empty rows and the three empty columns removed, header frozen and set to repeat on every printed page.</t>
  </si>
  <si>
    <t xml:space="preserve">Workbook</t>
  </si>
  <si>
    <t xml:space="preserve">three sheets — AlbShkenca 2026, OLA2027, Evolutionary Intelligence Journ — holding the same ten rows and differing only in the name of an empty column</t>
  </si>
  <si>
    <t xml:space="preserve">one Results sheet, with Instances, Operator ablation, Budget sweep and this one behind it. The venue is the editable yellow cell at the top right of Results. Three copies of a table drift apart the first time a number is corrected.</t>
  </si>
  <si>
    <t xml:space="preserve">Verified against source: fcmaes, Team HRI, Spacekangaroos and Hill Climbing match best-of-3 over harness/*.csv exactly on all ten instances, and every seed on the Seeds sheet matches its CSV row. The three em-dashes are Spacekangaroos runs that spent the full 1,201 s and returned no point under the 500-width cap; the harness distinguishes those from a crash and retries crashes, so they are a real “found nothing”. ESA's published evaluator would score such vectors as width 501 instead of discarding them, and they would still rank last on those rows.</t>
  </si>
  <si>
    <t xml:space="preserve">This revision (v4)</t>
  </si>
  <si>
    <t xml:space="preserve">one 7,881 HV floor — Hill Climbing's worst instance — applied to every method and every row</t>
  </si>
  <si>
    <t xml:space="preserve">each method's own three seeds (Seeds sheet): resolved when the median agrees with the best of 3 and every seed of the winner beats every seed of every rival. Four rows change — synth-3 and synth-4 become resolved, medium-graph and synth-5 unresolved; the count stays at 5 of 10. The old verdict is kept as Floor rule (v3).</t>
  </si>
  <si>
    <t xml:space="preserve">not in the workbook</t>
  </si>
  <si>
    <t xml:space="preserve">all 150 runs behind Results, with each method's median and worst seed.</t>
  </si>
  <si>
    <t xml:space="preserve">“Fourteen times the seed spread”</t>
  </si>
  <si>
    <t xml:space="preserve">a ten-instance sum compared with a one-instance median</t>
  </si>
  <si>
    <t xml:space="preserve">withdrawn. Session effects are tested by reshuffling seeds: p ≈ 0.05 for the ten-instance total, none per instance.</t>
  </si>
  <si>
    <t xml:space="preserve">Budget sweep</t>
  </si>
  <si>
    <t xml:space="preserve">the lead “closing by 31%”, a crossover “near thirty times the budget, about ten hours”; footnote sign reversed</t>
  </si>
  <si>
    <t xml:space="preserve">withdrawn: 89,534 of the 122,577 HV was the construction arm's own noise. Search recovers about a tenth of the lead per 10× budget. Footnote sign corrected.</t>
  </si>
  <si>
    <t xml:space="preserve">CPU wording</t>
  </si>
  <si>
    <t xml:space="preserve">the protocol said one core; the next paragraph said every library threads freely</t>
  </si>
  <si>
    <t xml:space="preserve">one core, pinned by run_mac.sh and enforced by bench_one.py; the 929% figure is why.</t>
  </si>
  <si>
    <t xml:space="preserve">Over-cap rule</t>
  </si>
  <si>
    <t xml:space="preserve">“void” (README §1.6)</t>
  </si>
  <si>
    <t xml:space="preserve">ESA's published evaluator (graph_torso_udp) scores an ordering that breaks the cap as width 501 and still counts it; this harness is stricter and discards the submission. No row changes.</t>
  </si>
  <si>
    <t xml:space="preserve">Instances notes</t>
  </si>
  <si>
    <t xml:space="preserve">“~2,600 from 1,957,201”; “n and the edge count are identical”</t>
  </si>
  <si>
    <t xml:space="preserve">2,091–2,806 (tw ≥ 63–73); the edge counts agree to within two.</t>
  </si>
  <si>
    <t xml:space="preserve">Audit sheet</t>
  </si>
  <si>
    <t xml:space="preserve">every check behind this revision, cell by cell, with its result.</t>
  </si>
  <si>
    <t xml:space="preserve">Audit — what was checked for v4, and what it found</t>
  </si>
  <si>
    <t xml:space="preserve">Each row is one check, run against the files named in Source. PASS = matches; FIXED = wrong or misleading in v3 and corrected here; NOTE = correct, but worth knowing before quoting.</t>
  </si>
  <si>
    <t xml:space="preserve">Sheet · cells</t>
  </si>
  <si>
    <t xml:space="preserve">Check</t>
  </si>
  <si>
    <t xml:space="preserve">Result</t>
  </si>
  <si>
    <t xml:space="preserve">Status</t>
  </si>
  <si>
    <t xml:space="preserve">Source</t>
  </si>
  <si>
    <t xml:space="preserve">Results · D6:H17</t>
  </si>
  <si>
    <t xml:space="preserve">Best-of-3 per method against the CSVs</t>
  </si>
  <si>
    <t xml:space="preserve">47 values match exactly; the 3 em-dashes are runs with valid = False</t>
  </si>
  <si>
    <t xml:space="preserve">PASS</t>
  </si>
  <si>
    <t xml:space="preserve">harness/benchmark-*.csv</t>
  </si>
  <si>
    <t xml:space="preserve">Results · C6:C17</t>
  </si>
  <si>
    <t xml:space="preserve">10/10 match bound.py --all</t>
  </si>
  <si>
    <t xml:space="preserve">Results · I, J, K</t>
  </si>
  <si>
    <t xml:space="preserve">Best in study, best method, margin over 2nd</t>
  </si>
  <si>
    <t xml:space="preserve">recomputed independently; all match</t>
  </si>
  <si>
    <t xml:space="preserve">robustness.py block A</t>
  </si>
  <si>
    <t xml:space="preserve">Results · M, N</t>
  </si>
  <si>
    <t xml:space="preserve">Gap to ceiling, min-degree share</t>
  </si>
  <si>
    <t xml:space="preserve">recomputed; all match</t>
  </si>
  <si>
    <t xml:space="preserve">bound.py, CSVs</t>
  </si>
  <si>
    <t xml:space="preserve">Results · O6, O11, O15</t>
  </si>
  <si>
    <t xml:space="preserve">ESA leaderboard top scores</t>
  </si>
  <si>
    <t xml:space="preserve">−1,829,919 / −1,745,122 / −5,493,062 as published</t>
  </si>
  <si>
    <t xml:space="preserve">optimise.esa.int, read 2026-10-13; leaderboard-references/esa_leaderboard.csv</t>
  </si>
  <si>
    <t xml:space="preserve">Results · L</t>
  </si>
  <si>
    <t xml:space="preserve">Verdict rule</t>
  </si>
  <si>
    <t xml:space="preserve">one 7,881 HV floor misjudges 4 rows; method seed spreads reach 281,976 HV</t>
  </si>
  <si>
    <t xml:space="preserve">FIXED</t>
  </si>
  <si>
    <t xml:space="preserve">Seeds sheet, robustness.py block A</t>
  </si>
  <si>
    <t xml:space="preserve">Results · C19</t>
  </si>
  <si>
    <t xml:space="preserve">7,881 = Hill Climbing's session change on synth-4 — correct, but one method on one instance</t>
  </si>
  <si>
    <t xml:space="preserve">NOTE</t>
  </si>
  <si>
    <t xml:space="preserve">benchmark-hill_climbing*.csv</t>
  </si>
  <si>
    <t xml:space="preserve">Results · A5, A10, A14</t>
  </si>
  <si>
    <t xml:space="preserve">Family headers: n, edges, tw ranges</t>
  </si>
  <si>
    <t xml:space="preserve">match data/*.gr and bound.py</t>
  </si>
  <si>
    <t xml:space="preserve">data/*.gr</t>
  </si>
  <si>
    <t xml:space="preserve">Results · protocol</t>
  </si>
  <si>
    <t xml:space="preserve">1,200 s budget held</t>
  </si>
  <si>
    <t xml:space="preserve">4 runs outside 1,150–1,400 s; none supplies a best-of-3 value</t>
  </si>
  <si>
    <t xml:space="preserve">seconds column of the CSVs</t>
  </si>
  <si>
    <t xml:space="preserve">Seeds · C6:O15</t>
  </si>
  <si>
    <t xml:space="preserve">Every seed against its CSV row</t>
  </si>
  <si>
    <t xml:space="preserve">150 runs, all match</t>
  </si>
  <si>
    <t xml:space="preserve">Instances · D–F</t>
  </si>
  <si>
    <t xml:space="preserve">n, edges, tw ≥</t>
  </si>
  <si>
    <t xml:space="preserve">match data/*.gr and bound.py --all</t>
  </si>
  <si>
    <t xml:space="preserve">data/*.gr, bound.py</t>
  </si>
  <si>
    <t xml:space="preserve">Instances · J–K</t>
  </si>
  <si>
    <t xml:space="preserve">Legal points from random / min-degree</t>
  </si>
  <si>
    <t xml:space="preserve">match the README §10.4 measurement; no CSV holds them</t>
  </si>
  <si>
    <t xml:space="preserve">README §10.4</t>
  </si>
  <si>
    <t xml:space="preserve">Instances · A2</t>
  </si>
  <si>
    <t xml:space="preserve">“n and the edge count are identical” within a family</t>
  </si>
  <si>
    <t xml:space="preserve">edge counts are 2,280–2,282 in the sparse family; n is identical</t>
  </si>
  <si>
    <t xml:space="preserve">Instances · B16</t>
  </si>
  <si>
    <t xml:space="preserve">“~2,600 from 1,957,201”</t>
  </si>
  <si>
    <t xml:space="preserve">is 2,091–2,806 for tw ≥ 63–73</t>
  </si>
  <si>
    <t xml:space="preserve">Instances · B22</t>
  </si>
  <si>
    <t xml:space="preserve">“scores 0” from a random start</t>
  </si>
  <si>
    <t xml:space="preserve">ESA scores it as width 501; this harness discards it</t>
  </si>
  <si>
    <t xml:space="preserve">ESA evaluation code</t>
  </si>
  <si>
    <t xml:space="preserve">Operator ablation · D4:D6</t>
  </si>
  <si>
    <t xml:space="preserve">Baseline totals and re-draw</t>
  </si>
  <si>
    <t xml:space="preserve">−26,412,158 / −26,390,639 / 21,519 match</t>
  </si>
  <si>
    <t xml:space="preserve">Operator ablation · D9:K22</t>
  </si>
  <si>
    <t xml:space="preserve">Totals, W–T–L, accepted moves for 14 arms</t>
  </si>
  <si>
    <t xml:space="preserve">all match</t>
  </si>
  <si>
    <t xml:space="preserve">harness/ablation_more-*.csv</t>
  </si>
  <si>
    <t xml:space="preserve">Operator ablation · budget</t>
  </si>
  <si>
    <t xml:space="preserve">48 of 420 runs overran (machine stalls), biasing against the arms</t>
  </si>
  <si>
    <t xml:space="preserve">seconds column</t>
  </si>
  <si>
    <t xml:space="preserve">Budget sweep · C5:E8</t>
  </si>
  <si>
    <t xml:space="preserve">Arm totals at three budgets</t>
  </si>
  <si>
    <t xml:space="preserve">all 12 match</t>
  </si>
  <si>
    <t xml:space="preserve">harness/budget_sweep.csv</t>
  </si>
  <si>
    <t xml:space="preserve">Budget sweep · A16</t>
  </si>
  <si>
    <t xml:space="preserve">“31% closed”, crossover “about ten hours”</t>
  </si>
  <si>
    <t xml:space="preserve">89,534 of 122,577 HV was the construction arm's own noise</t>
  </si>
  <si>
    <t xml:space="preserve">robustness.py block D</t>
  </si>
  <si>
    <t xml:space="preserve">Budget sweep · A26</t>
  </si>
  <si>
    <t xml:space="preserve">Sign of “gained over 10× budget”</t>
  </si>
  <si>
    <t xml:space="preserve">footnote had it reversed</t>
  </si>
  <si>
    <t xml:space="preserve">C6, E6, F6</t>
  </si>
  <si>
    <t xml:space="preserve">Budget sweep · A22</t>
  </si>
  <si>
    <t xml:space="preserve">“More operators … cost”</t>
  </si>
  <si>
    <t xml:space="preserve">25,602 HV is 1.2× the re-draw on one sample per budget: suggestive only</t>
  </si>
  <si>
    <t xml:space="preserve">budget_sweep.csv</t>
  </si>
  <si>
    <t xml:space="preserve">Notes · B12</t>
  </si>
  <si>
    <t xml:space="preserve">CPU cores</t>
  </si>
  <si>
    <t xml:space="preserve">said both one core and unrestricted threads</t>
  </si>
  <si>
    <t xml:space="preserve">run_mac.sh, bench_one.py</t>
  </si>
  <si>
    <t xml:space="preserve">Notes · B37</t>
  </si>
  <si>
    <t xml:space="preserve">Median within-run seed spread 1,528 HV</t>
  </si>
  <si>
    <t xml:space="preserve">reproduced by report.py (Block-2 solvers)</t>
  </si>
  <si>
    <t xml:space="preserve">report.py --block 2</t>
  </si>
  <si>
    <t xml:space="preserve">Notes · B41</t>
  </si>
  <si>
    <t xml:space="preserve">a ten-instance sum against a one-instance median</t>
  </si>
  <si>
    <t xml:space="preserve">robustness.py block B</t>
  </si>
  <si>
    <t xml:space="preserve">Notes · B46</t>
  </si>
  <si>
    <t xml:space="preserve">synth-3 figures; t = 0 share</t>
  </si>
  <si>
    <t xml:space="preserve">−1,819,944 / −1,819,873 / 71 HV / 0.004% match; t = 0 point (width 20) carries 99.99%; “about two seconds” is 0.7 s</t>
  </si>
  <si>
    <t xml:space="preserve">CSVs, min-degree recomputed</t>
  </si>
  <si>
    <t xml:space="preserve">Notes · B88</t>
  </si>
  <si>
    <t xml:space="preserve">Em-dash runs</t>
  </si>
  <si>
    <t xml:space="preserve">Spacekangaroos dense runs: valid = False, ~1,201 s, retried crashes excluded</t>
  </si>
  <si>
    <t xml:space="preserve">benchmark-spacekangaroos.csv</t>
  </si>
  <si>
    <t xml:space="preserve">External</t>
  </si>
  <si>
    <t xml:space="preserve">ESA's graph_torso_udp sets width = 501 and keeps the point in the hypervolume</t>
  </si>
  <si>
    <t xml:space="preserve">evaluation code linked on each ESA problem page</t>
  </si>
  <si>
    <t xml:space="preserve">No-search construction on ESA's leaderboards</t>
  </si>
  <si>
    <t xml:space="preserve">would place 9th of 15, 9th of 11 and tied 7th of 11</t>
  </si>
  <si>
    <t xml:space="preserve">robustness.py block E</t>
  </si>
  <si>
    <t xml:space="preserve">ESA's own evaluation code, run beside esa_eval.py</t>
  </si>
  <si>
    <t xml:space="preserve">identical on all ten instances: fitness on 220 orderings (44 over the cap), hypervolume on 2,000 point sets, and the min-degree ×8 column reproduced; data/ graphs byte-identical to ESA's</t>
  </si>
  <si>
    <t xml:space="preserve">harness/esa_crosscheck.py, esa_crosscheck.log</t>
  </si>
</sst>
</file>

<file path=xl/styles.xml><?xml version="1.0" encoding="utf-8"?>
<styleSheet xmlns="http://schemas.openxmlformats.org/spreadsheetml/2006/main">
  <numFmts count="8">
    <numFmt numFmtId="164" formatCode="General"/>
    <numFmt numFmtId="165" formatCode="#,##0"/>
    <numFmt numFmtId="166" formatCode="0.00%"/>
    <numFmt numFmtId="167" formatCode="0.000%"/>
    <numFmt numFmtId="168" formatCode="General"/>
    <numFmt numFmtId="169" formatCode="\+#,##0;\-#,##0;0"/>
    <numFmt numFmtId="170" formatCode="0.0\×"/>
    <numFmt numFmtId="171" formatCode="0%"/>
  </numFmts>
  <fonts count="28">
    <font>
      <sz val="11"/>
      <color theme="1"/>
      <name val="Calibri"/>
      <family val="2"/>
      <charset val="1"/>
    </font>
    <font>
      <sz val="10"/>
      <name val="Arial"/>
      <family val="0"/>
    </font>
    <font>
      <sz val="10"/>
      <name val="Arial"/>
      <family val="0"/>
    </font>
    <font>
      <sz val="10"/>
      <name val="Arial"/>
      <family val="0"/>
    </font>
    <font>
      <b val="true"/>
      <sz val="15"/>
      <color rgb="FF356854"/>
      <name val="Arial"/>
      <family val="0"/>
      <charset val="1"/>
    </font>
    <font>
      <i val="true"/>
      <sz val="9"/>
      <color rgb="FF5F6F6A"/>
      <name val="Arial"/>
      <family val="0"/>
      <charset val="1"/>
    </font>
    <font>
      <b val="true"/>
      <sz val="10"/>
      <color rgb="FF0000CC"/>
      <name val="Arial"/>
      <family val="0"/>
      <charset val="1"/>
    </font>
    <font>
      <b val="true"/>
      <sz val="10"/>
      <color rgb="FFFFFFFF"/>
      <name val="Arial"/>
      <family val="0"/>
      <charset val="1"/>
    </font>
    <font>
      <b val="true"/>
      <sz val="9.5"/>
      <color rgb="FF356854"/>
      <name val="Arial"/>
      <family val="0"/>
      <charset val="1"/>
    </font>
    <font>
      <sz val="10"/>
      <color rgb="FF1C2B26"/>
      <name val="Arial"/>
      <family val="0"/>
      <charset val="1"/>
    </font>
    <font>
      <sz val="10"/>
      <color rgb="FF5F6F6A"/>
      <name val="Arial"/>
      <family val="0"/>
      <charset val="1"/>
    </font>
    <font>
      <b val="true"/>
      <sz val="10"/>
      <color rgb="FF356854"/>
      <name val="Arial"/>
      <family val="0"/>
      <charset val="1"/>
    </font>
    <font>
      <i val="true"/>
      <sz val="10"/>
      <color rgb="FF5F6F6A"/>
      <name val="Arial"/>
      <family val="0"/>
      <charset val="1"/>
    </font>
    <font>
      <i val="true"/>
      <sz val="8.5"/>
      <color rgb="FF5F6F6A"/>
      <name val="Arial"/>
      <family val="0"/>
      <charset val="1"/>
    </font>
    <font>
      <b val="true"/>
      <sz val="9"/>
      <color rgb="FF356854"/>
      <name val="Arial"/>
      <family val="0"/>
      <charset val="1"/>
    </font>
    <font>
      <sz val="9"/>
      <color rgb="FF5F6F6A"/>
      <name val="Arial"/>
      <family val="0"/>
      <charset val="1"/>
    </font>
    <font>
      <b val="true"/>
      <sz val="8.5"/>
      <color rgb="FFFFFFFF"/>
      <name val="Arial"/>
      <family val="0"/>
      <charset val="1"/>
    </font>
    <font>
      <b val="true"/>
      <sz val="14"/>
      <color rgb="FF356854"/>
      <name val="Arial"/>
      <family val="0"/>
      <charset val="1"/>
    </font>
    <font>
      <sz val="9"/>
      <color rgb="FF1C2B26"/>
      <name val="Arial"/>
      <family val="0"/>
      <charset val="1"/>
    </font>
    <font>
      <b val="true"/>
      <sz val="9.5"/>
      <color rgb="FFFFFFFF"/>
      <name val="Arial"/>
      <family val="0"/>
      <charset val="1"/>
    </font>
    <font>
      <sz val="9.5"/>
      <color rgb="FF1C2B26"/>
      <name val="Arial"/>
      <family val="0"/>
      <charset val="1"/>
    </font>
    <font>
      <sz val="9.5"/>
      <color rgb="FF5F6F6A"/>
      <name val="Arial"/>
      <family val="0"/>
      <charset val="1"/>
    </font>
    <font>
      <i val="true"/>
      <sz val="8.5"/>
      <color rgb="FF1C2B26"/>
      <name val="Arial"/>
      <family val="0"/>
      <charset val="1"/>
    </font>
    <font>
      <b val="true"/>
      <sz val="10.5"/>
      <color rgb="FFFFFFFF"/>
      <name val="Arial"/>
      <family val="0"/>
      <charset val="1"/>
    </font>
    <font>
      <i val="true"/>
      <sz val="9.5"/>
      <color rgb="FF5F6F6A"/>
      <name val="Arial"/>
      <family val="0"/>
      <charset val="1"/>
    </font>
    <font>
      <b val="true"/>
      <sz val="9"/>
      <color rgb="FF1C2B26"/>
      <name val="Arial"/>
      <family val="0"/>
      <charset val="1"/>
    </font>
    <font>
      <b val="true"/>
      <sz val="10"/>
      <color rgb="FF9C4A2E"/>
      <name val="Arial"/>
      <family val="0"/>
      <charset val="1"/>
    </font>
    <font>
      <b val="true"/>
      <sz val="10"/>
      <color rgb="FF5F6F6A"/>
      <name val="Arial"/>
      <family val="0"/>
      <charset val="1"/>
    </font>
  </fonts>
  <fills count="11">
    <fill>
      <patternFill patternType="none"/>
    </fill>
    <fill>
      <patternFill patternType="gray125"/>
    </fill>
    <fill>
      <patternFill patternType="solid">
        <fgColor rgb="FFFFF4CC"/>
        <bgColor rgb="FFEFF5F2"/>
      </patternFill>
    </fill>
    <fill>
      <patternFill patternType="solid">
        <fgColor rgb="FF356854"/>
        <bgColor rgb="FF5F6F6A"/>
      </patternFill>
    </fill>
    <fill>
      <patternFill patternType="solid">
        <fgColor rgb="FFE3EDE9"/>
        <bgColor rgb="FFEDF3F0"/>
      </patternFill>
    </fill>
    <fill>
      <patternFill patternType="solid">
        <fgColor rgb="FFFFFFFF"/>
        <bgColor rgb="FFF6FAF8"/>
      </patternFill>
    </fill>
    <fill>
      <patternFill patternType="solid">
        <fgColor rgb="FFD3E6DD"/>
        <bgColor rgb="FFE3EDE9"/>
      </patternFill>
    </fill>
    <fill>
      <patternFill patternType="solid">
        <fgColor rgb="FFF6FAF8"/>
        <bgColor rgb="FFF4F8F6"/>
      </patternFill>
    </fill>
    <fill>
      <patternFill patternType="solid">
        <fgColor rgb="FFF4F8F6"/>
        <bgColor rgb="FFF6FAF8"/>
      </patternFill>
    </fill>
    <fill>
      <patternFill patternType="solid">
        <fgColor rgb="FFEDF3F0"/>
        <bgColor rgb="FFEFF5F2"/>
      </patternFill>
    </fill>
    <fill>
      <patternFill patternType="solid">
        <fgColor rgb="FFEFF5F2"/>
        <bgColor rgb="FFEDF3F0"/>
      </patternFill>
    </fill>
  </fills>
  <borders count="11">
    <border diagonalUp="false" diagonalDown="false">
      <left/>
      <right/>
      <top/>
      <bottom/>
      <diagonal/>
    </border>
    <border diagonalUp="false" diagonalDown="false">
      <left style="thin">
        <color rgb="FFBFD2CA"/>
      </left>
      <right/>
      <top style="thin">
        <color rgb="FFBFD2CA"/>
      </top>
      <bottom style="thin">
        <color rgb="FFBFD2CA"/>
      </bottom>
      <diagonal/>
    </border>
    <border diagonalUp="false" diagonalDown="false">
      <left style="thin">
        <color rgb="FFBFD2CA"/>
      </left>
      <right style="thin">
        <color rgb="FFBFD2CA"/>
      </right>
      <top style="medium">
        <color rgb="FF356854"/>
      </top>
      <bottom style="medium">
        <color rgb="FF356854"/>
      </bottom>
      <diagonal/>
    </border>
    <border diagonalUp="false" diagonalDown="false">
      <left style="medium">
        <color rgb="FF356854"/>
      </left>
      <right style="medium">
        <color rgb="FF356854"/>
      </right>
      <top style="thin">
        <color rgb="FFBFD2CA"/>
      </top>
      <bottom style="thin">
        <color rgb="FFBFD2CA"/>
      </bottom>
      <diagonal/>
    </border>
    <border diagonalUp="false" diagonalDown="false">
      <left style="medium">
        <color rgb="FF356854"/>
      </left>
      <right style="thin">
        <color rgb="FFBFD2CA"/>
      </right>
      <top style="thin">
        <color rgb="FFBFD2CA"/>
      </top>
      <bottom style="thin">
        <color rgb="FFBFD2CA"/>
      </bottom>
      <diagonal/>
    </border>
    <border diagonalUp="false" diagonalDown="false">
      <left style="thin">
        <color rgb="FFBFD2CA"/>
      </left>
      <right style="thin">
        <color rgb="FFBFD2CA"/>
      </right>
      <top style="thin">
        <color rgb="FFBFD2CA"/>
      </top>
      <bottom style="thin">
        <color rgb="FFBFD2CA"/>
      </bottom>
      <diagonal/>
    </border>
    <border diagonalUp="false" diagonalDown="false">
      <left style="thin">
        <color rgb="FFBFD2CA"/>
      </left>
      <right style="medium">
        <color rgb="FF356854"/>
      </right>
      <top style="thin">
        <color rgb="FFBFD2CA"/>
      </top>
      <bottom style="thin">
        <color rgb="FFBFD2CA"/>
      </bottom>
      <diagonal/>
    </border>
    <border diagonalUp="false" diagonalDown="false">
      <left style="medium">
        <color rgb="FF356854"/>
      </left>
      <right style="thin">
        <color rgb="FFBFD2CA"/>
      </right>
      <top style="thin">
        <color rgb="FFBFD2CA"/>
      </top>
      <bottom style="medium">
        <color rgb="FF356854"/>
      </bottom>
      <diagonal/>
    </border>
    <border diagonalUp="false" diagonalDown="false">
      <left style="thin">
        <color rgb="FFBFD2CA"/>
      </left>
      <right style="thin">
        <color rgb="FFBFD2CA"/>
      </right>
      <top style="thin">
        <color rgb="FFBFD2CA"/>
      </top>
      <bottom style="medium">
        <color rgb="FF356854"/>
      </bottom>
      <diagonal/>
    </border>
    <border diagonalUp="false" diagonalDown="false">
      <left style="thin">
        <color rgb="FFBFD2CA"/>
      </left>
      <right style="medium">
        <color rgb="FF356854"/>
      </right>
      <top style="thin">
        <color rgb="FFBFD2CA"/>
      </top>
      <bottom style="medium">
        <color rgb="FF356854"/>
      </bottom>
      <diagonal/>
    </border>
    <border diagonalUp="false" diagonalDown="false">
      <left/>
      <right/>
      <top/>
      <bottom style="thin">
        <color rgb="FFBFD2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9" fillId="5" borderId="4" xfId="0" applyFont="true" applyBorder="true" applyAlignment="true" applyProtection="false">
      <alignment horizontal="center" vertical="center" textRotation="0" wrapText="false" indent="0" shrinkToFit="false"/>
      <protection locked="true" hidden="false"/>
    </xf>
    <xf numFmtId="164" fontId="9" fillId="5" borderId="5" xfId="0" applyFont="true" applyBorder="true" applyAlignment="true" applyProtection="false">
      <alignment horizontal="left" vertical="center" textRotation="0" wrapText="false" indent="1" shrinkToFit="false"/>
      <protection locked="true" hidden="false"/>
    </xf>
    <xf numFmtId="165" fontId="10" fillId="5" borderId="5" xfId="0" applyFont="true" applyBorder="true" applyAlignment="true" applyProtection="false">
      <alignment horizontal="right" vertical="center" textRotation="0" wrapText="false" indent="1" shrinkToFit="false"/>
      <protection locked="true" hidden="false"/>
    </xf>
    <xf numFmtId="165" fontId="9" fillId="5" borderId="5" xfId="0" applyFont="true" applyBorder="true" applyAlignment="true" applyProtection="false">
      <alignment horizontal="right" vertical="center" textRotation="0" wrapText="false" indent="1" shrinkToFit="false"/>
      <protection locked="true" hidden="false"/>
    </xf>
    <xf numFmtId="165" fontId="11" fillId="6" borderId="5" xfId="0" applyFont="true" applyBorder="true" applyAlignment="true" applyProtection="false">
      <alignment horizontal="right" vertical="center" textRotation="0" wrapText="false" indent="1" shrinkToFit="false"/>
      <protection locked="true" hidden="false"/>
    </xf>
    <xf numFmtId="165" fontId="9" fillId="7" borderId="5" xfId="0" applyFont="true" applyBorder="true" applyAlignment="true" applyProtection="false">
      <alignment horizontal="right" vertical="center" textRotation="0" wrapText="false" indent="1" shrinkToFit="false"/>
      <protection locked="true" hidden="false"/>
    </xf>
    <xf numFmtId="164" fontId="9" fillId="5" borderId="5" xfId="0" applyFont="true" applyBorder="true" applyAlignment="true" applyProtection="false">
      <alignment horizontal="center" vertical="center" textRotation="0" wrapText="false" indent="0" shrinkToFit="false"/>
      <protection locked="true" hidden="false"/>
    </xf>
    <xf numFmtId="166" fontId="9" fillId="5" borderId="5" xfId="0" applyFont="true" applyBorder="true" applyAlignment="true" applyProtection="false">
      <alignment horizontal="right" vertical="center" textRotation="0" wrapText="false" indent="1" shrinkToFit="false"/>
      <protection locked="true" hidden="false"/>
    </xf>
    <xf numFmtId="167" fontId="9" fillId="5" borderId="5" xfId="0" applyFont="true" applyBorder="true" applyAlignment="true" applyProtection="false">
      <alignment horizontal="right" vertical="center" textRotation="0" wrapText="false" indent="1" shrinkToFit="false"/>
      <protection locked="true" hidden="false"/>
    </xf>
    <xf numFmtId="165" fontId="10" fillId="5" borderId="6" xfId="0" applyFont="true" applyBorder="true" applyAlignment="true" applyProtection="false">
      <alignment horizontal="right" vertical="center" textRotation="0" wrapText="false" indent="1" shrinkToFit="false"/>
      <protection locked="true" hidden="false"/>
    </xf>
    <xf numFmtId="164" fontId="12" fillId="5" borderId="5" xfId="0" applyFont="true" applyBorder="true" applyAlignment="true" applyProtection="false">
      <alignment horizontal="center" vertical="center" textRotation="0" wrapText="false" indent="0" shrinkToFit="false"/>
      <protection locked="true" hidden="false"/>
    </xf>
    <xf numFmtId="164" fontId="9" fillId="8" borderId="4" xfId="0" applyFont="true" applyBorder="true" applyAlignment="true" applyProtection="false">
      <alignment horizontal="center" vertical="center" textRotation="0" wrapText="false" indent="0" shrinkToFit="false"/>
      <protection locked="true" hidden="false"/>
    </xf>
    <xf numFmtId="164" fontId="9" fillId="8" borderId="5" xfId="0" applyFont="true" applyBorder="true" applyAlignment="true" applyProtection="false">
      <alignment horizontal="left" vertical="center" textRotation="0" wrapText="false" indent="1" shrinkToFit="false"/>
      <protection locked="true" hidden="false"/>
    </xf>
    <xf numFmtId="165" fontId="10" fillId="8" borderId="5" xfId="0" applyFont="true" applyBorder="true" applyAlignment="true" applyProtection="false">
      <alignment horizontal="right" vertical="center" textRotation="0" wrapText="false" indent="1" shrinkToFit="false"/>
      <protection locked="true" hidden="false"/>
    </xf>
    <xf numFmtId="165" fontId="9" fillId="8" borderId="5" xfId="0" applyFont="true" applyBorder="true" applyAlignment="true" applyProtection="false">
      <alignment horizontal="right" vertical="center" textRotation="0" wrapText="false" indent="1" shrinkToFit="false"/>
      <protection locked="true" hidden="false"/>
    </xf>
    <xf numFmtId="165" fontId="9" fillId="9" borderId="5" xfId="0" applyFont="true" applyBorder="true" applyAlignment="true" applyProtection="false">
      <alignment horizontal="right" vertical="center" textRotation="0" wrapText="false" indent="1" shrinkToFit="false"/>
      <protection locked="true" hidden="false"/>
    </xf>
    <xf numFmtId="164" fontId="9" fillId="8" borderId="5" xfId="0" applyFont="true" applyBorder="true" applyAlignment="true" applyProtection="false">
      <alignment horizontal="center" vertical="center" textRotation="0" wrapText="false" indent="0" shrinkToFit="false"/>
      <protection locked="true" hidden="false"/>
    </xf>
    <xf numFmtId="166" fontId="9" fillId="8" borderId="5" xfId="0" applyFont="true" applyBorder="true" applyAlignment="true" applyProtection="false">
      <alignment horizontal="right" vertical="center" textRotation="0" wrapText="false" indent="1" shrinkToFit="false"/>
      <protection locked="true" hidden="false"/>
    </xf>
    <xf numFmtId="167" fontId="9" fillId="8" borderId="5" xfId="0" applyFont="true" applyBorder="true" applyAlignment="true" applyProtection="false">
      <alignment horizontal="right" vertical="center" textRotation="0" wrapText="false" indent="1" shrinkToFit="false"/>
      <protection locked="true" hidden="false"/>
    </xf>
    <xf numFmtId="165" fontId="10" fillId="8" borderId="6" xfId="0" applyFont="true" applyBorder="true" applyAlignment="true" applyProtection="false">
      <alignment horizontal="right" vertical="center" textRotation="0" wrapText="false" indent="1" shrinkToFit="false"/>
      <protection locked="true" hidden="false"/>
    </xf>
    <xf numFmtId="164" fontId="12" fillId="8" borderId="5" xfId="0" applyFont="true" applyBorder="true" applyAlignment="true" applyProtection="false">
      <alignment horizontal="center" vertical="center" textRotation="0" wrapText="false" indent="0" shrinkToFit="false"/>
      <protection locked="true" hidden="false"/>
    </xf>
    <xf numFmtId="165" fontId="10" fillId="8" borderId="5" xfId="0" applyFont="true" applyBorder="true" applyAlignment="true" applyProtection="false">
      <alignment horizontal="center" vertical="center" textRotation="0" wrapText="false" indent="0" shrinkToFit="false"/>
      <protection locked="true" hidden="false"/>
    </xf>
    <xf numFmtId="165" fontId="10" fillId="5" borderId="5" xfId="0" applyFont="true" applyBorder="true" applyAlignment="true" applyProtection="false">
      <alignment horizontal="center" vertical="center" textRotation="0" wrapText="false" indent="0" shrinkToFit="false"/>
      <protection locked="true" hidden="false"/>
    </xf>
    <xf numFmtId="164" fontId="9" fillId="8" borderId="7" xfId="0" applyFont="true" applyBorder="true" applyAlignment="true" applyProtection="false">
      <alignment horizontal="center" vertical="center" textRotation="0" wrapText="false" indent="0" shrinkToFit="false"/>
      <protection locked="true" hidden="false"/>
    </xf>
    <xf numFmtId="164" fontId="9" fillId="8" borderId="8" xfId="0" applyFont="true" applyBorder="true" applyAlignment="true" applyProtection="false">
      <alignment horizontal="left" vertical="center" textRotation="0" wrapText="false" indent="1" shrinkToFit="false"/>
      <protection locked="true" hidden="false"/>
    </xf>
    <xf numFmtId="165" fontId="10" fillId="8" borderId="8" xfId="0" applyFont="true" applyBorder="true" applyAlignment="true" applyProtection="false">
      <alignment horizontal="right" vertical="center" textRotation="0" wrapText="false" indent="1" shrinkToFit="false"/>
      <protection locked="true" hidden="false"/>
    </xf>
    <xf numFmtId="165" fontId="11" fillId="6" borderId="8" xfId="0" applyFont="true" applyBorder="true" applyAlignment="true" applyProtection="false">
      <alignment horizontal="right" vertical="center" textRotation="0" wrapText="false" indent="1" shrinkToFit="false"/>
      <protection locked="true" hidden="false"/>
    </xf>
    <xf numFmtId="165" fontId="9" fillId="8" borderId="8" xfId="0" applyFont="true" applyBorder="true" applyAlignment="true" applyProtection="false">
      <alignment horizontal="right" vertical="center" textRotation="0" wrapText="false" indent="1" shrinkToFit="false"/>
      <protection locked="true" hidden="false"/>
    </xf>
    <xf numFmtId="165" fontId="10" fillId="8" borderId="8" xfId="0" applyFont="true" applyBorder="true" applyAlignment="true" applyProtection="false">
      <alignment horizontal="center" vertical="center" textRotation="0" wrapText="false" indent="0" shrinkToFit="false"/>
      <protection locked="true" hidden="false"/>
    </xf>
    <xf numFmtId="165" fontId="9" fillId="9" borderId="8" xfId="0" applyFont="true" applyBorder="true" applyAlignment="true" applyProtection="false">
      <alignment horizontal="right" vertical="center" textRotation="0" wrapText="false" indent="1" shrinkToFit="false"/>
      <protection locked="true" hidden="false"/>
    </xf>
    <xf numFmtId="164" fontId="9" fillId="8" borderId="8" xfId="0" applyFont="true" applyBorder="true" applyAlignment="true" applyProtection="false">
      <alignment horizontal="center" vertical="center" textRotation="0" wrapText="false" indent="0" shrinkToFit="false"/>
      <protection locked="true" hidden="false"/>
    </xf>
    <xf numFmtId="166" fontId="9" fillId="8" borderId="8" xfId="0" applyFont="true" applyBorder="true" applyAlignment="true" applyProtection="false">
      <alignment horizontal="right" vertical="center" textRotation="0" wrapText="false" indent="1" shrinkToFit="false"/>
      <protection locked="true" hidden="false"/>
    </xf>
    <xf numFmtId="167" fontId="9" fillId="8" borderId="8" xfId="0" applyFont="true" applyBorder="true" applyAlignment="true" applyProtection="false">
      <alignment horizontal="right" vertical="center" textRotation="0" wrapText="false" indent="1" shrinkToFit="false"/>
      <protection locked="true" hidden="false"/>
    </xf>
    <xf numFmtId="165" fontId="10" fillId="8" borderId="9" xfId="0" applyFont="true" applyBorder="true" applyAlignment="true" applyProtection="false">
      <alignment horizontal="right" vertical="center" textRotation="0" wrapText="false" indent="1" shrinkToFit="false"/>
      <protection locked="true" hidden="false"/>
    </xf>
    <xf numFmtId="164" fontId="12" fillId="8" borderId="8"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right" vertical="center" textRotation="0" wrapText="false" indent="1" shrinkToFit="false"/>
      <protection locked="true" hidden="false"/>
    </xf>
    <xf numFmtId="165" fontId="6" fillId="2" borderId="5" xfId="0" applyFont="true" applyBorder="true" applyAlignment="true" applyProtection="false">
      <alignment horizontal="right" vertical="center" textRotation="0" wrapText="false" indent="1"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right" vertical="center" textRotation="0" wrapText="false" indent="1"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right" vertical="center" textRotation="0" wrapText="false" indent="1" shrinkToFit="false"/>
      <protection locked="true" hidden="false"/>
    </xf>
    <xf numFmtId="168" fontId="9" fillId="5" borderId="5" xfId="0" applyFont="true" applyBorder="true" applyAlignment="true" applyProtection="false">
      <alignment horizontal="center" vertical="center" textRotation="0" wrapText="false" indent="0" shrinkToFit="false"/>
      <protection locked="true" hidden="false"/>
    </xf>
    <xf numFmtId="168" fontId="11"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5" fontId="9" fillId="10" borderId="5" xfId="0" applyFont="true" applyBorder="true" applyAlignment="true" applyProtection="false">
      <alignment horizontal="right" vertical="center" textRotation="0" wrapText="false" indent="1" shrinkToFit="false"/>
      <protection locked="true" hidden="false"/>
    </xf>
    <xf numFmtId="165" fontId="9" fillId="8" borderId="5" xfId="0" applyFont="true" applyBorder="true" applyAlignment="true" applyProtection="false">
      <alignment horizontal="center" vertical="center" textRotation="0" wrapText="false" indent="0" shrinkToFit="false"/>
      <protection locked="true" hidden="false"/>
    </xf>
    <xf numFmtId="165" fontId="9" fillId="5" borderId="5"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5" fillId="5" borderId="6" xfId="0" applyFont="true" applyBorder="true" applyAlignment="true" applyProtection="false">
      <alignment horizontal="left" vertical="center" textRotation="0" wrapText="false" indent="1" shrinkToFit="false"/>
      <protection locked="true" hidden="false"/>
    </xf>
    <xf numFmtId="164" fontId="15" fillId="8" borderId="6" xfId="0" applyFont="true" applyBorder="true" applyAlignment="true" applyProtection="false">
      <alignment horizontal="left" vertical="center" textRotation="0" wrapText="false" indent="1" shrinkToFit="false"/>
      <protection locked="true" hidden="false"/>
    </xf>
    <xf numFmtId="164" fontId="15" fillId="8" borderId="9" xfId="0" applyFont="true" applyBorder="true" applyAlignment="true" applyProtection="false">
      <alignment horizontal="left" vertical="center" textRotation="0" wrapText="false" indent="1"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5" fontId="11" fillId="8" borderId="5" xfId="0" applyFont="true" applyBorder="true" applyAlignment="true" applyProtection="false">
      <alignment horizontal="right" vertical="center" textRotation="0" wrapText="false" indent="1" shrinkToFit="false"/>
      <protection locked="true" hidden="false"/>
    </xf>
    <xf numFmtId="164" fontId="19" fillId="3" borderId="2" xfId="0" applyFont="true" applyBorder="true" applyAlignment="true" applyProtection="false">
      <alignment horizontal="center" vertical="center" textRotation="0" wrapText="true" indent="0" shrinkToFit="false"/>
      <protection locked="true" hidden="false"/>
    </xf>
    <xf numFmtId="164" fontId="20" fillId="5" borderId="4" xfId="0" applyFont="true" applyBorder="true" applyAlignment="true" applyProtection="false">
      <alignment horizontal="center" vertical="center" textRotation="0" wrapText="false" indent="0" shrinkToFit="false"/>
      <protection locked="true" hidden="false"/>
    </xf>
    <xf numFmtId="164" fontId="20" fillId="5" borderId="5" xfId="0" applyFont="true" applyBorder="true" applyAlignment="true" applyProtection="false">
      <alignment horizontal="left" vertical="center" textRotation="0" wrapText="false" indent="1" shrinkToFit="false"/>
      <protection locked="true" hidden="false"/>
    </xf>
    <xf numFmtId="164" fontId="21" fillId="5" borderId="5" xfId="0" applyFont="true" applyBorder="true" applyAlignment="true" applyProtection="false">
      <alignment horizontal="left" vertical="center" textRotation="0" wrapText="false" indent="1" shrinkToFit="false"/>
      <protection locked="true" hidden="false"/>
    </xf>
    <xf numFmtId="165" fontId="20" fillId="5" borderId="5" xfId="0" applyFont="true" applyBorder="true" applyAlignment="true" applyProtection="false">
      <alignment horizontal="right" vertical="center" textRotation="0" wrapText="false" indent="1" shrinkToFit="false"/>
      <protection locked="true" hidden="false"/>
    </xf>
    <xf numFmtId="169" fontId="20" fillId="5" borderId="5" xfId="0" applyFont="true" applyBorder="true" applyAlignment="true" applyProtection="false">
      <alignment horizontal="right" vertical="center" textRotation="0" wrapText="false" indent="1" shrinkToFit="false"/>
      <protection locked="true" hidden="false"/>
    </xf>
    <xf numFmtId="164" fontId="20" fillId="5" borderId="5" xfId="0" applyFont="true" applyBorder="true" applyAlignment="true" applyProtection="false">
      <alignment horizontal="center" vertical="center" textRotation="0" wrapText="false" indent="0" shrinkToFit="false"/>
      <protection locked="true" hidden="false"/>
    </xf>
    <xf numFmtId="170" fontId="20" fillId="5" borderId="5" xfId="0" applyFont="true" applyBorder="true" applyAlignment="true" applyProtection="false">
      <alignment horizontal="right" vertical="center" textRotation="0" wrapText="false" indent="1" shrinkToFit="false"/>
      <protection locked="true" hidden="false"/>
    </xf>
    <xf numFmtId="164" fontId="13" fillId="5" borderId="6" xfId="0" applyFont="true" applyBorder="true" applyAlignment="true" applyProtection="false">
      <alignment horizontal="left" vertical="center" textRotation="0" wrapText="false" indent="1" shrinkToFit="false"/>
      <protection locked="true" hidden="false"/>
    </xf>
    <xf numFmtId="164" fontId="20" fillId="8" borderId="4" xfId="0" applyFont="true" applyBorder="true" applyAlignment="true" applyProtection="false">
      <alignment horizontal="center" vertical="center" textRotation="0" wrapText="false" indent="0" shrinkToFit="false"/>
      <protection locked="true" hidden="false"/>
    </xf>
    <xf numFmtId="164" fontId="20" fillId="8" borderId="5" xfId="0" applyFont="true" applyBorder="true" applyAlignment="true" applyProtection="false">
      <alignment horizontal="left" vertical="center" textRotation="0" wrapText="false" indent="1" shrinkToFit="false"/>
      <protection locked="true" hidden="false"/>
    </xf>
    <xf numFmtId="164" fontId="21" fillId="8" borderId="5" xfId="0" applyFont="true" applyBorder="true" applyAlignment="true" applyProtection="false">
      <alignment horizontal="left" vertical="center" textRotation="0" wrapText="false" indent="1" shrinkToFit="false"/>
      <protection locked="true" hidden="false"/>
    </xf>
    <xf numFmtId="165" fontId="20" fillId="8" borderId="5" xfId="0" applyFont="true" applyBorder="true" applyAlignment="true" applyProtection="false">
      <alignment horizontal="right" vertical="center" textRotation="0" wrapText="false" indent="1" shrinkToFit="false"/>
      <protection locked="true" hidden="false"/>
    </xf>
    <xf numFmtId="169" fontId="20" fillId="8" borderId="5" xfId="0" applyFont="true" applyBorder="true" applyAlignment="true" applyProtection="false">
      <alignment horizontal="right" vertical="center" textRotation="0" wrapText="false" indent="1" shrinkToFit="false"/>
      <protection locked="true" hidden="false"/>
    </xf>
    <xf numFmtId="164" fontId="20" fillId="8" borderId="5" xfId="0" applyFont="true" applyBorder="true" applyAlignment="true" applyProtection="false">
      <alignment horizontal="center" vertical="center" textRotation="0" wrapText="false" indent="0" shrinkToFit="false"/>
      <protection locked="true" hidden="false"/>
    </xf>
    <xf numFmtId="170" fontId="20" fillId="8" borderId="5" xfId="0" applyFont="true" applyBorder="true" applyAlignment="true" applyProtection="false">
      <alignment horizontal="right" vertical="center" textRotation="0" wrapText="false" indent="1" shrinkToFit="false"/>
      <protection locked="true" hidden="false"/>
    </xf>
    <xf numFmtId="164" fontId="13" fillId="8" borderId="6" xfId="0" applyFont="true" applyBorder="true" applyAlignment="true" applyProtection="false">
      <alignment horizontal="left" vertical="center" textRotation="0" wrapText="false" indent="1" shrinkToFit="false"/>
      <protection locked="true" hidden="false"/>
    </xf>
    <xf numFmtId="164" fontId="20" fillId="8" borderId="7" xfId="0" applyFont="true" applyBorder="true" applyAlignment="true" applyProtection="false">
      <alignment horizontal="center" vertical="center" textRotation="0" wrapText="false" indent="0" shrinkToFit="false"/>
      <protection locked="true" hidden="false"/>
    </xf>
    <xf numFmtId="164" fontId="20" fillId="8" borderId="8" xfId="0" applyFont="true" applyBorder="true" applyAlignment="true" applyProtection="false">
      <alignment horizontal="left" vertical="center" textRotation="0" wrapText="false" indent="1" shrinkToFit="false"/>
      <protection locked="true" hidden="false"/>
    </xf>
    <xf numFmtId="164" fontId="21" fillId="8" borderId="8" xfId="0" applyFont="true" applyBorder="true" applyAlignment="true" applyProtection="false">
      <alignment horizontal="left" vertical="center" textRotation="0" wrapText="false" indent="1" shrinkToFit="false"/>
      <protection locked="true" hidden="false"/>
    </xf>
    <xf numFmtId="165" fontId="20" fillId="8" borderId="8" xfId="0" applyFont="true" applyBorder="true" applyAlignment="true" applyProtection="false">
      <alignment horizontal="right" vertical="center" textRotation="0" wrapText="false" indent="1" shrinkToFit="false"/>
      <protection locked="true" hidden="false"/>
    </xf>
    <xf numFmtId="169" fontId="20" fillId="8" borderId="8" xfId="0" applyFont="true" applyBorder="true" applyAlignment="true" applyProtection="false">
      <alignment horizontal="right" vertical="center" textRotation="0" wrapText="false" indent="1" shrinkToFit="false"/>
      <protection locked="true" hidden="false"/>
    </xf>
    <xf numFmtId="164" fontId="20" fillId="8" borderId="8" xfId="0" applyFont="true" applyBorder="true" applyAlignment="true" applyProtection="false">
      <alignment horizontal="center" vertical="center" textRotation="0" wrapText="false" indent="0" shrinkToFit="false"/>
      <protection locked="true" hidden="false"/>
    </xf>
    <xf numFmtId="170" fontId="20" fillId="8" borderId="8" xfId="0" applyFont="true" applyBorder="true" applyAlignment="true" applyProtection="false">
      <alignment horizontal="right" vertical="center" textRotation="0" wrapText="false" indent="1" shrinkToFit="false"/>
      <protection locked="true" hidden="false"/>
    </xf>
    <xf numFmtId="164" fontId="13" fillId="8" borderId="9" xfId="0" applyFont="true" applyBorder="true" applyAlignment="true" applyProtection="false">
      <alignment horizontal="left" vertical="center" textRotation="0" wrapText="false" indent="1" shrinkToFit="false"/>
      <protection locked="true" hidden="false"/>
    </xf>
    <xf numFmtId="164" fontId="20" fillId="6" borderId="4" xfId="0" applyFont="true" applyBorder="true" applyAlignment="true" applyProtection="false">
      <alignment horizontal="left" vertical="center" textRotation="0" wrapText="false" indent="1" shrinkToFit="false"/>
      <protection locked="true" hidden="false"/>
    </xf>
    <xf numFmtId="164" fontId="20" fillId="6" borderId="5" xfId="0" applyFont="true" applyBorder="true" applyAlignment="true" applyProtection="false">
      <alignment horizontal="left" vertical="center" textRotation="0" wrapText="false" indent="1" shrinkToFit="false"/>
      <protection locked="true" hidden="false"/>
    </xf>
    <xf numFmtId="165" fontId="20" fillId="6" borderId="5" xfId="0" applyFont="true" applyBorder="true" applyAlignment="true" applyProtection="false">
      <alignment horizontal="right" vertical="center" textRotation="0" wrapText="false" indent="1" shrinkToFit="false"/>
      <protection locked="true" hidden="false"/>
    </xf>
    <xf numFmtId="169" fontId="20" fillId="6" borderId="5" xfId="0" applyFont="true" applyBorder="true" applyAlignment="true" applyProtection="false">
      <alignment horizontal="right" vertical="center" textRotation="0" wrapText="false" indent="1" shrinkToFit="false"/>
      <protection locked="true" hidden="false"/>
    </xf>
    <xf numFmtId="164" fontId="22" fillId="6" borderId="6" xfId="0" applyFont="true" applyBorder="true" applyAlignment="true" applyProtection="false">
      <alignment horizontal="left" vertical="center" textRotation="0" wrapText="false" indent="1" shrinkToFit="false"/>
      <protection locked="true" hidden="false"/>
    </xf>
    <xf numFmtId="164" fontId="20" fillId="8" borderId="4" xfId="0" applyFont="true" applyBorder="true" applyAlignment="true" applyProtection="false">
      <alignment horizontal="left" vertical="center" textRotation="0" wrapText="false" indent="1" shrinkToFit="false"/>
      <protection locked="true" hidden="false"/>
    </xf>
    <xf numFmtId="164" fontId="20" fillId="5" borderId="4" xfId="0" applyFont="true" applyBorder="true" applyAlignment="true" applyProtection="false">
      <alignment horizontal="left" vertical="center" textRotation="0" wrapText="false" indent="1" shrinkToFit="false"/>
      <protection locked="true" hidden="false"/>
    </xf>
    <xf numFmtId="164" fontId="20" fillId="8" borderId="7" xfId="0" applyFont="true" applyBorder="true" applyAlignment="true" applyProtection="false">
      <alignment horizontal="left" vertical="center" textRotation="0" wrapText="false" indent="1" shrinkToFit="false"/>
      <protection locked="true" hidden="false"/>
    </xf>
    <xf numFmtId="164" fontId="23" fillId="3" borderId="0" xfId="0" applyFont="true" applyBorder="true" applyAlignment="true" applyProtection="false">
      <alignment horizontal="left" vertical="center" textRotation="0" wrapText="false" indent="1" shrinkToFit="false"/>
      <protection locked="true" hidden="false"/>
    </xf>
    <xf numFmtId="164" fontId="14" fillId="0" borderId="10" xfId="0" applyFont="true" applyBorder="true" applyAlignment="true" applyProtection="false">
      <alignment horizontal="left" vertical="center" textRotation="0" wrapText="false" indent="1" shrinkToFit="false"/>
      <protection locked="true" hidden="false"/>
    </xf>
    <xf numFmtId="164" fontId="14" fillId="0" borderId="10" xfId="0" applyFont="true" applyBorder="true" applyAlignment="true" applyProtection="false">
      <alignment horizontal="right" vertical="center" textRotation="0" wrapText="true" indent="0" shrinkToFit="false"/>
      <protection locked="true" hidden="false"/>
    </xf>
    <xf numFmtId="164" fontId="14" fillId="0" borderId="1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1" shrinkToFit="false"/>
      <protection locked="true" hidden="false"/>
    </xf>
    <xf numFmtId="165" fontId="20" fillId="0" borderId="0" xfId="0" applyFont="true" applyBorder="false" applyAlignment="true" applyProtection="false">
      <alignment horizontal="right" vertical="center" textRotation="0" wrapText="false" indent="1" shrinkToFit="false"/>
      <protection locked="true" hidden="false"/>
    </xf>
    <xf numFmtId="171" fontId="20"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19" fillId="3" borderId="5" xfId="0" applyFont="true" applyBorder="true" applyAlignment="true" applyProtection="false">
      <alignment horizontal="left" vertical="top" textRotation="0" wrapText="true" indent="1" shrinkToFit="false"/>
      <protection locked="true" hidden="false"/>
    </xf>
    <xf numFmtId="164" fontId="25" fillId="8" borderId="5" xfId="0" applyFont="true" applyBorder="true" applyAlignment="true" applyProtection="false">
      <alignment horizontal="left" vertical="top" textRotation="0" wrapText="true" indent="1" shrinkToFit="false"/>
      <protection locked="true" hidden="false"/>
    </xf>
    <xf numFmtId="164" fontId="18" fillId="8" borderId="5" xfId="0" applyFont="true" applyBorder="true" applyAlignment="true" applyProtection="false">
      <alignment horizontal="left" vertical="top" textRotation="0" wrapText="true" indent="1" shrinkToFit="false"/>
      <protection locked="true" hidden="false"/>
    </xf>
    <xf numFmtId="164" fontId="25" fillId="5" borderId="5" xfId="0" applyFont="true" applyBorder="true" applyAlignment="true" applyProtection="false">
      <alignment horizontal="left" vertical="top" textRotation="0" wrapText="true" indent="1" shrinkToFit="false"/>
      <protection locked="true" hidden="false"/>
    </xf>
    <xf numFmtId="164" fontId="18" fillId="5" borderId="5" xfId="0" applyFont="true" applyBorder="true" applyAlignment="true" applyProtection="false">
      <alignment horizontal="left" vertical="top" textRotation="0" wrapText="true" indent="1" shrinkToFit="false"/>
      <protection locked="true" hidden="false"/>
    </xf>
    <xf numFmtId="164" fontId="9" fillId="5" borderId="5" xfId="0" applyFont="true" applyBorder="true" applyAlignment="true" applyProtection="false">
      <alignment horizontal="center" vertical="center" textRotation="0" wrapText="true" indent="0" shrinkToFit="false"/>
      <protection locked="true" hidden="false"/>
    </xf>
    <xf numFmtId="164" fontId="9" fillId="5" borderId="5" xfId="0" applyFont="true" applyBorder="true" applyAlignment="true" applyProtection="false">
      <alignment horizontal="left" vertical="center" textRotation="0" wrapText="true" indent="0" shrinkToFit="false"/>
      <protection locked="true" hidden="false"/>
    </xf>
    <xf numFmtId="164" fontId="11" fillId="5" borderId="5" xfId="0" applyFont="true" applyBorder="true" applyAlignment="true" applyProtection="false">
      <alignment horizontal="center" vertical="center" textRotation="0" wrapText="true" indent="0" shrinkToFit="false"/>
      <protection locked="true" hidden="false"/>
    </xf>
    <xf numFmtId="164" fontId="9" fillId="8" borderId="5" xfId="0" applyFont="true" applyBorder="true" applyAlignment="true" applyProtection="false">
      <alignment horizontal="center" vertical="center" textRotation="0" wrapText="true" indent="0" shrinkToFit="false"/>
      <protection locked="true" hidden="false"/>
    </xf>
    <xf numFmtId="164" fontId="9" fillId="8" borderId="5" xfId="0" applyFont="true" applyBorder="true" applyAlignment="true" applyProtection="false">
      <alignment horizontal="left" vertical="center" textRotation="0" wrapText="true" indent="0" shrinkToFit="false"/>
      <protection locked="true" hidden="false"/>
    </xf>
    <xf numFmtId="164" fontId="11" fillId="8" borderId="5" xfId="0" applyFont="true" applyBorder="true" applyAlignment="true" applyProtection="false">
      <alignment horizontal="center" vertical="center" textRotation="0" wrapText="true" indent="0" shrinkToFit="false"/>
      <protection locked="true" hidden="false"/>
    </xf>
    <xf numFmtId="164" fontId="26" fillId="8" borderId="5" xfId="0" applyFont="true" applyBorder="true" applyAlignment="true" applyProtection="false">
      <alignment horizontal="center" vertical="center" textRotation="0" wrapText="true" indent="0" shrinkToFit="false"/>
      <protection locked="true" hidden="false"/>
    </xf>
    <xf numFmtId="164" fontId="27" fillId="5" borderId="5" xfId="0" applyFont="true" applyBorder="true" applyAlignment="true" applyProtection="false">
      <alignment horizontal="center" vertical="center" textRotation="0" wrapText="true" indent="0" shrinkToFit="false"/>
      <protection locked="true" hidden="false"/>
    </xf>
    <xf numFmtId="164" fontId="27" fillId="8" borderId="5" xfId="0" applyFont="true" applyBorder="true" applyAlignment="true" applyProtection="false">
      <alignment horizontal="center" vertical="center" textRotation="0" wrapText="true" indent="0" shrinkToFit="false"/>
      <protection locked="true" hidden="false"/>
    </xf>
    <xf numFmtId="164" fontId="26" fillId="5" borderId="5"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356854"/>
      </font>
    </dxf>
    <dxf>
      <font>
        <i val="1"/>
        <color rgb="FF9C4A2E"/>
      </font>
    </dxf>
    <dxf>
      <font>
        <color rgb="FF9C4A2E"/>
      </font>
    </dxf>
  </dxfs>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356854"/>
      <rgbColor rgb="FFBFD2CA"/>
      <rgbColor rgb="FF808080"/>
      <rgbColor rgb="FF9999FF"/>
      <rgbColor rgb="FF993366"/>
      <rgbColor rgb="FFFFF4CC"/>
      <rgbColor rgb="FFE3EDE9"/>
      <rgbColor rgb="FF660066"/>
      <rgbColor rgb="FFFF8080"/>
      <rgbColor rgb="FF0066CC"/>
      <rgbColor rgb="FFF4F8F6"/>
      <rgbColor rgb="FF000080"/>
      <rgbColor rgb="FFFF00FF"/>
      <rgbColor rgb="FFFFFF00"/>
      <rgbColor rgb="FF00FFFF"/>
      <rgbColor rgb="FF800080"/>
      <rgbColor rgb="FF800000"/>
      <rgbColor rgb="FF008080"/>
      <rgbColor rgb="FF0000FF"/>
      <rgbColor rgb="FF00CCFF"/>
      <rgbColor rgb="FFEDF3F0"/>
      <rgbColor rgb="FFD3E6DD"/>
      <rgbColor rgb="FFEFF5F2"/>
      <rgbColor rgb="FF99CCFF"/>
      <rgbColor rgb="FFFF99CC"/>
      <rgbColor rgb="FFCC99FF"/>
      <rgbColor rgb="FFF6FAF8"/>
      <rgbColor rgb="FF3366FF"/>
      <rgbColor rgb="FF33CCCC"/>
      <rgbColor rgb="FF99CC00"/>
      <rgbColor rgb="FFFFCC00"/>
      <rgbColor rgb="FFFF9900"/>
      <rgbColor rgb="FFFF6600"/>
      <rgbColor rgb="FF5F6F6A"/>
      <rgbColor rgb="FF969696"/>
      <rgbColor rgb="FF003366"/>
      <rgbColor rgb="FF339966"/>
      <rgbColor rgb="FF003300"/>
      <rgbColor rgb="FF333300"/>
      <rgbColor rgb="FF9C4A2E"/>
      <rgbColor rgb="FF993366"/>
      <rgbColor rgb="FF333399"/>
      <rgbColor rgb="FF1C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R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52"/>
    <col collapsed="false" customWidth="true" hidden="false" outlineLevel="0" max="2" min="2" style="1" width="14.52"/>
    <col collapsed="false" customWidth="true" hidden="false" outlineLevel="0" max="3" min="3" style="1" width="15.51"/>
    <col collapsed="false" customWidth="true" hidden="false" outlineLevel="0" max="5" min="4" style="1" width="13.5"/>
    <col collapsed="false" customWidth="true" hidden="false" outlineLevel="0" max="6" min="6" style="1" width="15.51"/>
    <col collapsed="false" customWidth="true" hidden="false" outlineLevel="0" max="7" min="7" style="1" width="13.5"/>
    <col collapsed="false" customWidth="true" hidden="false" outlineLevel="0" max="9" min="8" style="1" width="14.52"/>
    <col collapsed="false" customWidth="true" hidden="false" outlineLevel="0" max="10" min="10" style="1" width="19"/>
    <col collapsed="false" customWidth="true" hidden="false" outlineLevel="0" max="11" min="11" style="1" width="15.51"/>
    <col collapsed="false" customWidth="true" hidden="false" outlineLevel="0" max="12" min="12" style="1" width="12.5"/>
    <col collapsed="false" customWidth="true" hidden="false" outlineLevel="0" max="13" min="13" style="1" width="14"/>
    <col collapsed="false" customWidth="true" hidden="false" outlineLevel="0" max="14" min="14" style="1" width="16"/>
    <col collapsed="false" customWidth="true" hidden="false" outlineLevel="0" max="15" min="15" style="1" width="15.51"/>
    <col collapsed="false" customWidth="true" hidden="false" outlineLevel="0" max="16" min="16" style="0" width="16"/>
    <col collapsed="false" customWidth="true" hidden="false" outlineLevel="0" max="17" min="17" style="0" width="12.5"/>
    <col collapsed="false" customWidth="true" hidden="false" outlineLevel="0" max="18" min="18" style="0" width="12"/>
  </cols>
  <sheetData>
    <row r="1" customFormat="false" ht="25.5" hidden="false" customHeight="true" outlineLevel="0" collapsed="false">
      <c r="A1" s="2" t="s">
        <v>0</v>
      </c>
      <c r="B1" s="2"/>
      <c r="C1" s="2"/>
      <c r="D1" s="2"/>
      <c r="E1" s="2"/>
      <c r="F1" s="2"/>
      <c r="G1" s="2"/>
      <c r="H1" s="2"/>
      <c r="I1" s="2"/>
      <c r="J1" s="3" t="s">
        <v>1</v>
      </c>
      <c r="K1" s="4" t="s">
        <v>2</v>
      </c>
      <c r="L1" s="4"/>
      <c r="M1" s="4"/>
      <c r="N1" s="4"/>
      <c r="O1" s="4"/>
    </row>
    <row r="2" customFormat="false" ht="27.75" hidden="false" customHeight="true" outlineLevel="0" collapsed="false">
      <c r="A2" s="5" t="s">
        <v>3</v>
      </c>
      <c r="B2" s="5"/>
      <c r="C2" s="5"/>
      <c r="D2" s="5"/>
      <c r="E2" s="5"/>
      <c r="F2" s="5"/>
      <c r="G2" s="5"/>
      <c r="H2" s="5"/>
      <c r="I2" s="5"/>
      <c r="J2" s="5"/>
      <c r="K2" s="5"/>
      <c r="L2" s="5"/>
      <c r="M2" s="5"/>
      <c r="N2" s="5"/>
      <c r="O2" s="5"/>
      <c r="P2" s="5"/>
      <c r="Q2" s="5"/>
      <c r="R2" s="5"/>
    </row>
    <row r="3" customFormat="false" ht="6.75" hidden="false" customHeight="true" outlineLevel="0" collapsed="false"/>
    <row r="4" customFormat="false" ht="31.5" hidden="false" customHeight="true" outlineLevel="0" collapsed="false">
      <c r="A4" s="6" t="s">
        <v>4</v>
      </c>
      <c r="B4" s="6" t="s">
        <v>5</v>
      </c>
      <c r="C4" s="6" t="s">
        <v>6</v>
      </c>
      <c r="D4" s="6" t="s">
        <v>7</v>
      </c>
      <c r="E4" s="6" t="s">
        <v>8</v>
      </c>
      <c r="F4" s="6" t="s">
        <v>9</v>
      </c>
      <c r="G4" s="6" t="s">
        <v>10</v>
      </c>
      <c r="H4" s="6" t="s">
        <v>11</v>
      </c>
      <c r="I4" s="6" t="s">
        <v>12</v>
      </c>
      <c r="J4" s="6" t="s">
        <v>13</v>
      </c>
      <c r="K4" s="6" t="s">
        <v>14</v>
      </c>
      <c r="L4" s="6" t="s">
        <v>15</v>
      </c>
      <c r="M4" s="6" t="s">
        <v>16</v>
      </c>
      <c r="N4" s="6" t="s">
        <v>17</v>
      </c>
      <c r="O4" s="6" t="s">
        <v>18</v>
      </c>
      <c r="P4" s="6" t="s">
        <v>19</v>
      </c>
      <c r="Q4" s="6" t="s">
        <v>20</v>
      </c>
      <c r="R4" s="6" t="s">
        <v>21</v>
      </c>
    </row>
    <row r="5" customFormat="false" ht="18.75" hidden="false" customHeight="true" outlineLevel="0" collapsed="false">
      <c r="A5" s="7" t="s">
        <v>22</v>
      </c>
      <c r="B5" s="7"/>
      <c r="C5" s="7"/>
      <c r="D5" s="7"/>
      <c r="E5" s="7"/>
      <c r="F5" s="7"/>
      <c r="G5" s="7"/>
      <c r="H5" s="7"/>
      <c r="I5" s="7"/>
      <c r="J5" s="7"/>
      <c r="K5" s="7"/>
      <c r="L5" s="7"/>
      <c r="M5" s="7"/>
      <c r="N5" s="7"/>
      <c r="O5" s="7"/>
      <c r="P5" s="7"/>
      <c r="Q5" s="7"/>
      <c r="R5" s="7"/>
    </row>
    <row r="6" customFormat="false" ht="19.5" hidden="false" customHeight="true" outlineLevel="0" collapsed="false">
      <c r="A6" s="8" t="n">
        <v>1</v>
      </c>
      <c r="B6" s="9" t="s">
        <v>23</v>
      </c>
      <c r="C6" s="10" t="n">
        <v>-1841434</v>
      </c>
      <c r="D6" s="11" t="n">
        <v>-1808034</v>
      </c>
      <c r="E6" s="11" t="n">
        <v>-1820882</v>
      </c>
      <c r="F6" s="12" t="n">
        <v>-1827490</v>
      </c>
      <c r="G6" s="11" t="n">
        <v>-1815437</v>
      </c>
      <c r="H6" s="11" t="n">
        <v>-1814518</v>
      </c>
      <c r="I6" s="13" t="n">
        <f aca="false">MIN(D6:H6)</f>
        <v>-1827490</v>
      </c>
      <c r="J6" s="9" t="str">
        <f aca="false">INDEX($D$4:$H$4,MATCH(I6,D6:H6,0))</f>
        <v>Spacekangaroos</v>
      </c>
      <c r="K6" s="11" t="n">
        <f aca="false">SMALL(D6:H6,2)-I6</f>
        <v>6608</v>
      </c>
      <c r="L6" s="14" t="str">
        <f aca="false">IF(AND($P6=$J6,$Q6&gt;0),"resolved","unresolved")</f>
        <v>unresolved</v>
      </c>
      <c r="M6" s="15" t="n">
        <f aca="false">(C6-I6)/C6</f>
        <v>0.00757235936775361</v>
      </c>
      <c r="N6" s="16" t="n">
        <f aca="false">H6/I6</f>
        <v>0.992901739544402</v>
      </c>
      <c r="O6" s="17" t="n">
        <v>-1829919</v>
      </c>
      <c r="P6" s="9" t="str">
        <f aca="false">INDEX(Seeds!$P$5:$T$5,MATCH(MIN(INDEX(Seeds!$P$6:$T$15,MATCH($B6,Seeds!$B$6:$B$15,0),0)),INDEX(Seeds!$P$6:$T$15,MATCH($B6,Seeds!$B$6:$B$15,0),0),0))</f>
        <v>Team HRI</v>
      </c>
      <c r="Q6" s="11" t="n">
        <f aca="false">SMALL($D6:$H6,2)-INDEX(Seeds!$U$6:$Y$15,MATCH($B6,Seeds!$B$6:$B$15,0),MATCH($J6,Seeds!$U$5:$Y$5,0))</f>
        <v>-9960</v>
      </c>
      <c r="R6" s="18" t="str">
        <f aca="false">IF($K6&gt;=$C$19,"separates","tie")</f>
        <v>tie</v>
      </c>
    </row>
    <row r="7" customFormat="false" ht="19.5" hidden="false" customHeight="true" outlineLevel="0" collapsed="false">
      <c r="A7" s="19" t="n">
        <v>2</v>
      </c>
      <c r="B7" s="20" t="s">
        <v>24</v>
      </c>
      <c r="C7" s="21" t="n">
        <v>-1841434</v>
      </c>
      <c r="D7" s="22" t="n">
        <v>-1804510</v>
      </c>
      <c r="E7" s="22" t="n">
        <v>-1818732</v>
      </c>
      <c r="F7" s="22" t="n">
        <v>-1816878</v>
      </c>
      <c r="G7" s="12" t="n">
        <v>-1819934</v>
      </c>
      <c r="H7" s="22" t="n">
        <v>-1818533</v>
      </c>
      <c r="I7" s="23" t="n">
        <f aca="false">MIN(D7:H7)</f>
        <v>-1819934</v>
      </c>
      <c r="J7" s="20" t="str">
        <f aca="false">INDEX($D$4:$H$4,MATCH(I7,D7:H7,0))</f>
        <v>Hill Climbing</v>
      </c>
      <c r="K7" s="22" t="n">
        <f aca="false">SMALL(D7:H7,2)-I7</f>
        <v>1202</v>
      </c>
      <c r="L7" s="24" t="str">
        <f aca="false">IF(AND($P7=$J7,$Q7&gt;0),"resolved","unresolved")</f>
        <v>unresolved</v>
      </c>
      <c r="M7" s="25" t="n">
        <f aca="false">(C7-I7)/C7</f>
        <v>0.0116756831903831</v>
      </c>
      <c r="N7" s="26" t="n">
        <f aca="false">H7/I7</f>
        <v>0.999230191864101</v>
      </c>
      <c r="O7" s="27" t="s">
        <v>25</v>
      </c>
      <c r="P7" s="20" t="str">
        <f aca="false">INDEX(Seeds!$P$5:$T$5,MATCH(MIN(INDEX(Seeds!$P$6:$T$15,MATCH($B7,Seeds!$B$6:$B$15,0),0)),INDEX(Seeds!$P$6:$T$15,MATCH($B7,Seeds!$B$6:$B$15,0),0),0))</f>
        <v>Hill Climbing</v>
      </c>
      <c r="Q7" s="22" t="n">
        <f aca="false">SMALL($D7:$H7,2)-INDEX(Seeds!$U$6:$Y$15,MATCH($B7,Seeds!$B$6:$B$15,0),MATCH($J7,Seeds!$U$5:$Y$5,0))</f>
        <v>-120</v>
      </c>
      <c r="R7" s="28" t="str">
        <f aca="false">IF($K7&gt;=$C$19,"separates","tie")</f>
        <v>tie</v>
      </c>
    </row>
    <row r="8" customFormat="false" ht="19.5" hidden="false" customHeight="true" outlineLevel="0" collapsed="false">
      <c r="A8" s="8" t="n">
        <v>3</v>
      </c>
      <c r="B8" s="9" t="s">
        <v>26</v>
      </c>
      <c r="C8" s="10" t="n">
        <v>-1841434</v>
      </c>
      <c r="D8" s="11" t="n">
        <v>-1803847</v>
      </c>
      <c r="E8" s="12" t="n">
        <v>-1820165</v>
      </c>
      <c r="F8" s="11" t="n">
        <v>-1817483</v>
      </c>
      <c r="G8" s="11" t="n">
        <v>-1819958</v>
      </c>
      <c r="H8" s="11" t="n">
        <v>-1819873</v>
      </c>
      <c r="I8" s="13" t="n">
        <f aca="false">MIN(D8:H8)</f>
        <v>-1820165</v>
      </c>
      <c r="J8" s="9" t="str">
        <f aca="false">INDEX($D$4:$H$4,MATCH(I8,D8:H8,0))</f>
        <v>Team HRI</v>
      </c>
      <c r="K8" s="11" t="n">
        <f aca="false">SMALL(D8:H8,2)-I8</f>
        <v>207</v>
      </c>
      <c r="L8" s="14" t="str">
        <f aca="false">IF(AND($P8=$J8,$Q8&gt;0),"resolved","unresolved")</f>
        <v>unresolved</v>
      </c>
      <c r="M8" s="15" t="n">
        <f aca="false">(C8-I8)/C8</f>
        <v>0.0115502374779655</v>
      </c>
      <c r="N8" s="16" t="n">
        <f aca="false">H8/I8</f>
        <v>0.999839574983587</v>
      </c>
      <c r="O8" s="17" t="s">
        <v>25</v>
      </c>
      <c r="P8" s="9" t="str">
        <f aca="false">INDEX(Seeds!$P$5:$T$5,MATCH(MIN(INDEX(Seeds!$P$6:$T$15,MATCH($B8,Seeds!$B$6:$B$15,0),0)),INDEX(Seeds!$P$6:$T$15,MATCH($B8,Seeds!$B$6:$B$15,0),0),0))</f>
        <v>Hill Climbing</v>
      </c>
      <c r="Q8" s="11" t="n">
        <f aca="false">SMALL($D8:$H8,2)-INDEX(Seeds!$U$6:$Y$15,MATCH($B8,Seeds!$B$6:$B$15,0),MATCH($J8,Seeds!$U$5:$Y$5,0))</f>
        <v>-2515</v>
      </c>
      <c r="R8" s="18" t="str">
        <f aca="false">IF($K8&gt;=$C$19,"separates","tie")</f>
        <v>tie</v>
      </c>
    </row>
    <row r="9" customFormat="false" ht="19.5" hidden="false" customHeight="true" outlineLevel="0" collapsed="false">
      <c r="A9" s="19" t="n">
        <v>4</v>
      </c>
      <c r="B9" s="20" t="s">
        <v>27</v>
      </c>
      <c r="C9" s="21" t="n">
        <v>-1841434</v>
      </c>
      <c r="D9" s="22" t="n">
        <v>-1804390</v>
      </c>
      <c r="E9" s="22" t="n">
        <v>-1817640</v>
      </c>
      <c r="F9" s="22" t="n">
        <v>-1816534</v>
      </c>
      <c r="G9" s="12" t="n">
        <v>-1819944</v>
      </c>
      <c r="H9" s="22" t="n">
        <v>-1819873</v>
      </c>
      <c r="I9" s="23" t="n">
        <f aca="false">MIN(D9:H9)</f>
        <v>-1819944</v>
      </c>
      <c r="J9" s="20" t="str">
        <f aca="false">INDEX($D$4:$H$4,MATCH(I9,D9:H9,0))</f>
        <v>Hill Climbing</v>
      </c>
      <c r="K9" s="22" t="n">
        <f aca="false">SMALL(D9:H9,2)-I9</f>
        <v>71</v>
      </c>
      <c r="L9" s="24" t="str">
        <f aca="false">IF(AND($P9=$J9,$Q9&gt;0),"resolved","unresolved")</f>
        <v>resolved</v>
      </c>
      <c r="M9" s="25" t="n">
        <f aca="false">(C9-I9)/C9</f>
        <v>0.011670252640062</v>
      </c>
      <c r="N9" s="26" t="n">
        <f aca="false">H9/I9</f>
        <v>0.999960987810614</v>
      </c>
      <c r="O9" s="27" t="s">
        <v>25</v>
      </c>
      <c r="P9" s="20" t="str">
        <f aca="false">INDEX(Seeds!$P$5:$T$5,MATCH(MIN(INDEX(Seeds!$P$6:$T$15,MATCH($B9,Seeds!$B$6:$B$15,0),0)),INDEX(Seeds!$P$6:$T$15,MATCH($B9,Seeds!$B$6:$B$15,0),0),0))</f>
        <v>Hill Climbing</v>
      </c>
      <c r="Q9" s="22" t="n">
        <f aca="false">SMALL($D9:$H9,2)-INDEX(Seeds!$U$6:$Y$15,MATCH($B9,Seeds!$B$6:$B$15,0),MATCH($J9,Seeds!$U$5:$Y$5,0))</f>
        <v>24</v>
      </c>
      <c r="R9" s="28" t="str">
        <f aca="false">IF($K9&gt;=$C$19,"separates","tie")</f>
        <v>tie</v>
      </c>
    </row>
    <row r="10" customFormat="false" ht="18.75" hidden="false" customHeight="true" outlineLevel="0" collapsed="false">
      <c r="A10" s="7" t="s">
        <v>28</v>
      </c>
      <c r="B10" s="7"/>
      <c r="C10" s="7"/>
      <c r="D10" s="7"/>
      <c r="E10" s="7"/>
      <c r="F10" s="7"/>
      <c r="G10" s="7"/>
      <c r="H10" s="7"/>
      <c r="I10" s="7"/>
      <c r="J10" s="7"/>
      <c r="K10" s="7"/>
      <c r="L10" s="7"/>
      <c r="M10" s="7"/>
      <c r="N10" s="7"/>
      <c r="O10" s="7"/>
      <c r="P10" s="7"/>
      <c r="Q10" s="7"/>
      <c r="R10" s="7"/>
    </row>
    <row r="11" customFormat="false" ht="19.5" hidden="false" customHeight="true" outlineLevel="0" collapsed="false">
      <c r="A11" s="8" t="n">
        <v>5</v>
      </c>
      <c r="B11" s="9" t="s">
        <v>29</v>
      </c>
      <c r="C11" s="10" t="n">
        <v>-1955110</v>
      </c>
      <c r="D11" s="11" t="n">
        <v>-1663147</v>
      </c>
      <c r="E11" s="12" t="n">
        <v>-1682428</v>
      </c>
      <c r="F11" s="11" t="n">
        <v>-1566543</v>
      </c>
      <c r="G11" s="11" t="n">
        <v>-1615216</v>
      </c>
      <c r="H11" s="11" t="n">
        <v>-1606387</v>
      </c>
      <c r="I11" s="13" t="n">
        <f aca="false">MIN(D11:H11)</f>
        <v>-1682428</v>
      </c>
      <c r="J11" s="9" t="str">
        <f aca="false">INDEX($D$4:$H$4,MATCH(I11,D11:H11,0))</f>
        <v>Team HRI</v>
      </c>
      <c r="K11" s="11" t="n">
        <f aca="false">SMALL(D11:H11,2)-I11</f>
        <v>19281</v>
      </c>
      <c r="L11" s="14" t="str">
        <f aca="false">IF(AND($P11=$J11,$Q11&gt;0),"resolved","unresolved")</f>
        <v>unresolved</v>
      </c>
      <c r="M11" s="15" t="n">
        <f aca="false">(C11-I11)/C11</f>
        <v>0.139471436389768</v>
      </c>
      <c r="N11" s="16" t="n">
        <f aca="false">H11/I11</f>
        <v>0.954802820685343</v>
      </c>
      <c r="O11" s="17" t="n">
        <v>-1745122</v>
      </c>
      <c r="P11" s="9" t="str">
        <f aca="false">INDEX(Seeds!$P$5:$T$5,MATCH(MIN(INDEX(Seeds!$P$6:$T$15,MATCH($B11,Seeds!$B$6:$B$15,0),0)),INDEX(Seeds!$P$6:$T$15,MATCH($B11,Seeds!$B$6:$B$15,0),0),0))</f>
        <v>Team HRI</v>
      </c>
      <c r="Q11" s="11" t="n">
        <f aca="false">SMALL($D11:$H11,2)-INDEX(Seeds!$U$6:$Y$15,MATCH($B11,Seeds!$B$6:$B$15,0),MATCH($J11,Seeds!$U$5:$Y$5,0))</f>
        <v>-61095</v>
      </c>
      <c r="R11" s="18" t="str">
        <f aca="false">IF($K11&gt;=$C$19,"separates","tie")</f>
        <v>separates</v>
      </c>
    </row>
    <row r="12" customFormat="false" ht="19.5" hidden="false" customHeight="true" outlineLevel="0" collapsed="false">
      <c r="A12" s="19" t="n">
        <v>6</v>
      </c>
      <c r="B12" s="20" t="s">
        <v>30</v>
      </c>
      <c r="C12" s="21" t="n">
        <v>-1954471</v>
      </c>
      <c r="D12" s="22" t="n">
        <v>-1586305</v>
      </c>
      <c r="E12" s="12" t="n">
        <v>-1592317</v>
      </c>
      <c r="F12" s="22" t="n">
        <v>-1483952</v>
      </c>
      <c r="G12" s="22" t="n">
        <v>-1564037</v>
      </c>
      <c r="H12" s="22" t="n">
        <v>-1554095</v>
      </c>
      <c r="I12" s="23" t="n">
        <f aca="false">MIN(D12:H12)</f>
        <v>-1592317</v>
      </c>
      <c r="J12" s="20" t="str">
        <f aca="false">INDEX($D$4:$H$4,MATCH(I12,D12:H12,0))</f>
        <v>Team HRI</v>
      </c>
      <c r="K12" s="22" t="n">
        <f aca="false">SMALL(D12:H12,2)-I12</f>
        <v>6012</v>
      </c>
      <c r="L12" s="24" t="str">
        <f aca="false">IF(AND($P12=$J12,$Q12&gt;0),"resolved","unresolved")</f>
        <v>resolved</v>
      </c>
      <c r="M12" s="25" t="n">
        <f aca="false">(C12-I12)/C12</f>
        <v>0.18529515147577</v>
      </c>
      <c r="N12" s="26" t="n">
        <f aca="false">H12/I12</f>
        <v>0.975995985723948</v>
      </c>
      <c r="O12" s="27" t="s">
        <v>25</v>
      </c>
      <c r="P12" s="20" t="str">
        <f aca="false">INDEX(Seeds!$P$5:$T$5,MATCH(MIN(INDEX(Seeds!$P$6:$T$15,MATCH($B12,Seeds!$B$6:$B$15,0),0)),INDEX(Seeds!$P$6:$T$15,MATCH($B12,Seeds!$B$6:$B$15,0),0),0))</f>
        <v>Team HRI</v>
      </c>
      <c r="Q12" s="22" t="n">
        <f aca="false">SMALL($D12:$H12,2)-INDEX(Seeds!$U$6:$Y$15,MATCH($B12,Seeds!$B$6:$B$15,0),MATCH($J12,Seeds!$U$5:$Y$5,0))</f>
        <v>2128</v>
      </c>
      <c r="R12" s="28" t="str">
        <f aca="false">IF($K12&gt;=$C$19,"separates","tie")</f>
        <v>tie</v>
      </c>
    </row>
    <row r="13" customFormat="false" ht="19.5" hidden="false" customHeight="true" outlineLevel="0" collapsed="false">
      <c r="A13" s="8" t="n">
        <v>7</v>
      </c>
      <c r="B13" s="9" t="s">
        <v>31</v>
      </c>
      <c r="C13" s="10" t="n">
        <v>-1954395</v>
      </c>
      <c r="D13" s="11" t="n">
        <v>-1582930</v>
      </c>
      <c r="E13" s="12" t="n">
        <v>-1597450</v>
      </c>
      <c r="F13" s="11" t="n">
        <v>-1473387</v>
      </c>
      <c r="G13" s="11" t="n">
        <v>-1562142</v>
      </c>
      <c r="H13" s="11" t="n">
        <v>-1558465</v>
      </c>
      <c r="I13" s="13" t="n">
        <f aca="false">MIN(D13:H13)</f>
        <v>-1597450</v>
      </c>
      <c r="J13" s="9" t="str">
        <f aca="false">INDEX($D$4:$H$4,MATCH(I13,D13:H13,0))</f>
        <v>Team HRI</v>
      </c>
      <c r="K13" s="11" t="n">
        <f aca="false">SMALL(D13:H13,2)-I13</f>
        <v>14520</v>
      </c>
      <c r="L13" s="14" t="str">
        <f aca="false">IF(AND($P13=$J13,$Q13&gt;0),"resolved","unresolved")</f>
        <v>unresolved</v>
      </c>
      <c r="M13" s="15" t="n">
        <f aca="false">(C13-I13)/C13</f>
        <v>0.182637082063759</v>
      </c>
      <c r="N13" s="16" t="n">
        <f aca="false">H13/I13</f>
        <v>0.975595480296723</v>
      </c>
      <c r="O13" s="17" t="s">
        <v>25</v>
      </c>
      <c r="P13" s="9" t="str">
        <f aca="false">INDEX(Seeds!$P$5:$T$5,MATCH(MIN(INDEX(Seeds!$P$6:$T$15,MATCH($B13,Seeds!$B$6:$B$15,0),0)),INDEX(Seeds!$P$6:$T$15,MATCH($B13,Seeds!$B$6:$B$15,0),0),0))</f>
        <v>fcmaes</v>
      </c>
      <c r="Q13" s="11" t="n">
        <f aca="false">SMALL($D13:$H13,2)-INDEX(Seeds!$U$6:$Y$15,MATCH($B13,Seeds!$B$6:$B$15,0),MATCH($J13,Seeds!$U$5:$Y$5,0))</f>
        <v>-31077</v>
      </c>
      <c r="R13" s="18" t="str">
        <f aca="false">IF($K13&gt;=$C$19,"separates","tie")</f>
        <v>separates</v>
      </c>
    </row>
    <row r="14" customFormat="false" ht="18.75" hidden="false" customHeight="true" outlineLevel="0" collapsed="false">
      <c r="A14" s="7" t="s">
        <v>32</v>
      </c>
      <c r="B14" s="7"/>
      <c r="C14" s="7"/>
      <c r="D14" s="7"/>
      <c r="E14" s="7"/>
      <c r="F14" s="7"/>
      <c r="G14" s="7"/>
      <c r="H14" s="7"/>
      <c r="I14" s="7"/>
      <c r="J14" s="7"/>
      <c r="K14" s="7"/>
      <c r="L14" s="7"/>
      <c r="M14" s="7"/>
      <c r="N14" s="7"/>
      <c r="O14" s="7"/>
      <c r="P14" s="7"/>
      <c r="Q14" s="7"/>
      <c r="R14" s="7"/>
    </row>
    <row r="15" customFormat="false" ht="19.5" hidden="false" customHeight="true" outlineLevel="0" collapsed="false">
      <c r="A15" s="19" t="n">
        <v>8</v>
      </c>
      <c r="B15" s="20" t="s">
        <v>33</v>
      </c>
      <c r="C15" s="21" t="n">
        <v>-5754421</v>
      </c>
      <c r="D15" s="12" t="n">
        <v>-5329389</v>
      </c>
      <c r="E15" s="22" t="n">
        <v>-4836783</v>
      </c>
      <c r="F15" s="29" t="s">
        <v>34</v>
      </c>
      <c r="G15" s="22" t="n">
        <v>-4804444</v>
      </c>
      <c r="H15" s="22" t="n">
        <v>-4793652</v>
      </c>
      <c r="I15" s="23" t="n">
        <f aca="false">MIN(D15:H15)</f>
        <v>-5329389</v>
      </c>
      <c r="J15" s="20" t="str">
        <f aca="false">INDEX($D$4:$H$4,MATCH(I15,D15:H15,0))</f>
        <v>fcmaes</v>
      </c>
      <c r="K15" s="22" t="n">
        <f aca="false">SMALL(D15:H15,2)-I15</f>
        <v>492606</v>
      </c>
      <c r="L15" s="24" t="str">
        <f aca="false">IF(AND($P15=$J15,$Q15&gt;0),"resolved","unresolved")</f>
        <v>resolved</v>
      </c>
      <c r="M15" s="25" t="n">
        <f aca="false">(C15-I15)/C15</f>
        <v>0.0738618185913057</v>
      </c>
      <c r="N15" s="26" t="n">
        <f aca="false">H15/I15</f>
        <v>0.899474967955989</v>
      </c>
      <c r="O15" s="27" t="n">
        <v>-5493062</v>
      </c>
      <c r="P15" s="20" t="str">
        <f aca="false">INDEX(Seeds!$P$5:$T$5,MATCH(MIN(INDEX(Seeds!$P$6:$T$15,MATCH($B15,Seeds!$B$6:$B$15,0),0)),INDEX(Seeds!$P$6:$T$15,MATCH($B15,Seeds!$B$6:$B$15,0),0),0))</f>
        <v>fcmaes</v>
      </c>
      <c r="Q15" s="22" t="n">
        <f aca="false">SMALL($D15:$H15,2)-INDEX(Seeds!$U$6:$Y$15,MATCH($B15,Seeds!$B$6:$B$15,0),MATCH($J15,Seeds!$U$5:$Y$5,0))</f>
        <v>425344</v>
      </c>
      <c r="R15" s="28" t="str">
        <f aca="false">IF($K15&gt;=$C$19,"separates","tie")</f>
        <v>separates</v>
      </c>
    </row>
    <row r="16" customFormat="false" ht="19.5" hidden="false" customHeight="true" outlineLevel="0" collapsed="false">
      <c r="A16" s="8" t="n">
        <v>9</v>
      </c>
      <c r="B16" s="9" t="s">
        <v>35</v>
      </c>
      <c r="C16" s="10" t="n">
        <v>-5754421</v>
      </c>
      <c r="D16" s="12" t="n">
        <v>-5167178</v>
      </c>
      <c r="E16" s="11" t="n">
        <v>-4797902</v>
      </c>
      <c r="F16" s="30" t="s">
        <v>34</v>
      </c>
      <c r="G16" s="11" t="n">
        <v>-4795615</v>
      </c>
      <c r="H16" s="11" t="n">
        <v>-4793652</v>
      </c>
      <c r="I16" s="13" t="n">
        <f aca="false">MIN(D16:H16)</f>
        <v>-5167178</v>
      </c>
      <c r="J16" s="9" t="str">
        <f aca="false">INDEX($D$4:$H$4,MATCH(I16,D16:H16,0))</f>
        <v>fcmaes</v>
      </c>
      <c r="K16" s="11" t="n">
        <f aca="false">SMALL(D16:H16,2)-I16</f>
        <v>369276</v>
      </c>
      <c r="L16" s="14" t="str">
        <f aca="false">IF(AND($P16=$J16,$Q16&gt;0),"resolved","unresolved")</f>
        <v>resolved</v>
      </c>
      <c r="M16" s="15" t="n">
        <f aca="false">(C16-I16)/C16</f>
        <v>0.102050753672698</v>
      </c>
      <c r="N16" s="16" t="n">
        <f aca="false">H16/I16</f>
        <v>0.927711799361276</v>
      </c>
      <c r="O16" s="17" t="s">
        <v>25</v>
      </c>
      <c r="P16" s="9" t="str">
        <f aca="false">INDEX(Seeds!$P$5:$T$5,MATCH(MIN(INDEX(Seeds!$P$6:$T$15,MATCH($B16,Seeds!$B$6:$B$15,0),0)),INDEX(Seeds!$P$6:$T$15,MATCH($B16,Seeds!$B$6:$B$15,0),0),0))</f>
        <v>fcmaes</v>
      </c>
      <c r="Q16" s="11" t="n">
        <f aca="false">SMALL($D16:$H16,2)-INDEX(Seeds!$U$6:$Y$15,MATCH($B16,Seeds!$B$6:$B$15,0),MATCH($J16,Seeds!$U$5:$Y$5,0))</f>
        <v>233811</v>
      </c>
      <c r="R16" s="18" t="str">
        <f aca="false">IF($K16&gt;=$C$19,"separates","tie")</f>
        <v>separates</v>
      </c>
    </row>
    <row r="17" customFormat="false" ht="19.5" hidden="false" customHeight="true" outlineLevel="0" collapsed="false">
      <c r="A17" s="31" t="n">
        <v>10</v>
      </c>
      <c r="B17" s="32" t="s">
        <v>36</v>
      </c>
      <c r="C17" s="33" t="n">
        <v>-5754421</v>
      </c>
      <c r="D17" s="34" t="n">
        <v>-5203583</v>
      </c>
      <c r="E17" s="35" t="n">
        <v>-4800009</v>
      </c>
      <c r="F17" s="36" t="s">
        <v>34</v>
      </c>
      <c r="G17" s="35" t="n">
        <v>-4795431</v>
      </c>
      <c r="H17" s="35" t="n">
        <v>-4793652</v>
      </c>
      <c r="I17" s="37" t="n">
        <f aca="false">MIN(D17:H17)</f>
        <v>-5203583</v>
      </c>
      <c r="J17" s="32" t="str">
        <f aca="false">INDEX($D$4:$H$4,MATCH(I17,D17:H17,0))</f>
        <v>fcmaes</v>
      </c>
      <c r="K17" s="35" t="n">
        <f aca="false">SMALL(D17:H17,2)-I17</f>
        <v>403574</v>
      </c>
      <c r="L17" s="38" t="str">
        <f aca="false">IF(AND($P17=$J17,$Q17&gt;0),"resolved","unresolved")</f>
        <v>resolved</v>
      </c>
      <c r="M17" s="39" t="n">
        <f aca="false">(C17-I17)/C17</f>
        <v>0.0957243135321521</v>
      </c>
      <c r="N17" s="40" t="n">
        <f aca="false">H17/I17</f>
        <v>0.921221396872117</v>
      </c>
      <c r="O17" s="41" t="s">
        <v>25</v>
      </c>
      <c r="P17" s="32" t="str">
        <f aca="false">INDEX(Seeds!$P$5:$T$5,MATCH(MIN(INDEX(Seeds!$P$6:$T$15,MATCH($B17,Seeds!$B$6:$B$15,0),0)),INDEX(Seeds!$P$6:$T$15,MATCH($B17,Seeds!$B$6:$B$15,0),0),0))</f>
        <v>fcmaes</v>
      </c>
      <c r="Q17" s="35" t="n">
        <f aca="false">SMALL($D17:$H17,2)-INDEX(Seeds!$U$6:$Y$15,MATCH($B17,Seeds!$B$6:$B$15,0),MATCH($J17,Seeds!$U$5:$Y$5,0))</f>
        <v>121598</v>
      </c>
      <c r="R17" s="42" t="str">
        <f aca="false">IF($K17&gt;=$C$19,"separates","tie")</f>
        <v>separates</v>
      </c>
    </row>
    <row r="18" customFormat="false" ht="9" hidden="false" customHeight="true" outlineLevel="0" collapsed="false"/>
    <row r="19" customFormat="false" ht="25.5" hidden="false" customHeight="true" outlineLevel="0" collapsed="false">
      <c r="A19" s="43" t="s">
        <v>37</v>
      </c>
      <c r="B19" s="43"/>
      <c r="C19" s="44" t="n">
        <v>7881</v>
      </c>
      <c r="D19" s="45" t="s">
        <v>38</v>
      </c>
      <c r="E19" s="45"/>
      <c r="F19" s="45"/>
      <c r="G19" s="45"/>
      <c r="H19" s="45"/>
      <c r="I19" s="45"/>
      <c r="J19" s="45"/>
      <c r="K19" s="45"/>
      <c r="L19" s="45"/>
      <c r="M19" s="45"/>
      <c r="N19" s="45"/>
      <c r="O19" s="45"/>
      <c r="P19" s="45"/>
      <c r="Q19" s="45"/>
      <c r="R19" s="45"/>
    </row>
    <row r="21" customFormat="false" ht="24" hidden="false" customHeight="true" outlineLevel="0" collapsed="false">
      <c r="A21" s="46" t="s">
        <v>39</v>
      </c>
      <c r="B21" s="46"/>
      <c r="C21" s="46"/>
      <c r="D21" s="47" t="str">
        <f aca="false">D$4</f>
        <v>fcmaes</v>
      </c>
      <c r="E21" s="47" t="str">
        <f aca="false">E$4</f>
        <v>Team HRI</v>
      </c>
      <c r="F21" s="47" t="str">
        <f aca="false">F$4</f>
        <v>Spacekangaroos</v>
      </c>
      <c r="G21" s="47" t="str">
        <f aca="false">G$4</f>
        <v>Hill Climbing</v>
      </c>
      <c r="H21" s="47" t="str">
        <f aca="false">H$4</f>
        <v>min-degree ×8</v>
      </c>
      <c r="I21" s="48" t="s">
        <v>40</v>
      </c>
    </row>
    <row r="22" customFormat="false" ht="15" hidden="false" customHeight="true" outlineLevel="0" collapsed="false">
      <c r="A22" s="49" t="s">
        <v>41</v>
      </c>
      <c r="B22" s="49"/>
      <c r="C22" s="49"/>
      <c r="D22" s="50" t="n">
        <f aca="false">COUNTIF($J$5:$J$17,D$4)</f>
        <v>3</v>
      </c>
      <c r="E22" s="50" t="n">
        <f aca="false">COUNTIF($J$5:$J$17,E$4)</f>
        <v>4</v>
      </c>
      <c r="F22" s="50" t="n">
        <f aca="false">COUNTIF($J$5:$J$17,F$4)</f>
        <v>1</v>
      </c>
      <c r="G22" s="50" t="n">
        <f aca="false">COUNTIF($J$5:$J$17,G$4)</f>
        <v>2</v>
      </c>
      <c r="H22" s="50" t="n">
        <f aca="false">COUNTIF($J$5:$J$17,H$4)</f>
        <v>0</v>
      </c>
      <c r="I22" s="51" t="n">
        <f aca="false">SUM(D22:H22)</f>
        <v>10</v>
      </c>
    </row>
    <row r="23" customFormat="false" ht="15" hidden="false" customHeight="true" outlineLevel="0" collapsed="false">
      <c r="A23" s="49" t="s">
        <v>42</v>
      </c>
      <c r="B23" s="49"/>
      <c r="C23" s="49"/>
      <c r="D23" s="50" t="n">
        <f aca="false">COUNTIF($P$5:$P$17,D$4)</f>
        <v>4</v>
      </c>
      <c r="E23" s="50" t="n">
        <f aca="false">COUNTIF($P$5:$P$17,E$4)</f>
        <v>3</v>
      </c>
      <c r="F23" s="50" t="n">
        <f aca="false">COUNTIF($P$5:$P$17,F$4)</f>
        <v>0</v>
      </c>
      <c r="G23" s="50" t="n">
        <f aca="false">COUNTIF($P$5:$P$17,G$4)</f>
        <v>3</v>
      </c>
      <c r="H23" s="50" t="n">
        <f aca="false">COUNTIF($P$5:$P$17,H$4)</f>
        <v>0</v>
      </c>
      <c r="I23" s="51" t="n">
        <f aca="false">SUM(D23:H23)</f>
        <v>10</v>
      </c>
    </row>
    <row r="24" customFormat="false" ht="15" hidden="false" customHeight="true" outlineLevel="0" collapsed="false">
      <c r="A24" s="49" t="s">
        <v>43</v>
      </c>
      <c r="B24" s="49"/>
      <c r="C24" s="49"/>
      <c r="D24" s="50" t="n">
        <f aca="false">COUNTIFS($J$5:$J$17,D$4,$L$5:$L$17,"resolved")</f>
        <v>3</v>
      </c>
      <c r="E24" s="50" t="n">
        <f aca="false">COUNTIFS($J$5:$J$17,E$4,$L$5:$L$17,"resolved")</f>
        <v>1</v>
      </c>
      <c r="F24" s="50" t="n">
        <f aca="false">COUNTIFS($J$5:$J$17,F$4,$L$5:$L$17,"resolved")</f>
        <v>0</v>
      </c>
      <c r="G24" s="50" t="n">
        <f aca="false">COUNTIFS($J$5:$J$17,G$4,$L$5:$L$17,"resolved")</f>
        <v>1</v>
      </c>
      <c r="H24" s="50" t="n">
        <f aca="false">COUNTIFS($J$5:$J$17,H$4,$L$5:$L$17,"resolved")</f>
        <v>0</v>
      </c>
      <c r="I24" s="51" t="n">
        <f aca="false">COUNTIF($L$5:$L$17,"resolved")</f>
        <v>5</v>
      </c>
    </row>
    <row r="25" customFormat="false" ht="15" hidden="false" customHeight="true" outlineLevel="0" collapsed="false">
      <c r="A25" s="49" t="s">
        <v>44</v>
      </c>
      <c r="B25" s="49"/>
      <c r="C25" s="49"/>
      <c r="D25" s="50" t="n">
        <f aca="false">COUNTIFS($J$5:$J$17,D$4,$R$5:$R$17,"separates")</f>
        <v>3</v>
      </c>
      <c r="E25" s="50" t="n">
        <f aca="false">COUNTIFS($J$5:$J$17,E$4,$R$5:$R$17,"separates")</f>
        <v>2</v>
      </c>
      <c r="F25" s="50" t="n">
        <f aca="false">COUNTIFS($J$5:$J$17,F$4,$R$5:$R$17,"separates")</f>
        <v>0</v>
      </c>
      <c r="G25" s="50" t="n">
        <f aca="false">COUNTIFS($J$5:$J$17,G$4,$R$5:$R$17,"separates")</f>
        <v>0</v>
      </c>
      <c r="H25" s="50" t="n">
        <f aca="false">COUNTIFS($J$5:$J$17,H$4,$R$5:$R$17,"separates")</f>
        <v>0</v>
      </c>
      <c r="I25" s="51" t="n">
        <f aca="false">COUNTIF($R$5:$R$17,"separates")</f>
        <v>5</v>
      </c>
    </row>
    <row r="26" customFormat="false" ht="15" hidden="false" customHeight="true" outlineLevel="0" collapsed="false">
      <c r="A26" s="49" t="s">
        <v>45</v>
      </c>
      <c r="B26" s="49"/>
      <c r="C26" s="49"/>
      <c r="D26" s="50" t="n">
        <f aca="false">COUNT(D$5:D$17)</f>
        <v>10</v>
      </c>
      <c r="E26" s="50" t="n">
        <f aca="false">COUNT(E$5:E$17)</f>
        <v>10</v>
      </c>
      <c r="F26" s="50" t="n">
        <f aca="false">COUNT(F$5:F$17)</f>
        <v>7</v>
      </c>
      <c r="G26" s="50" t="n">
        <f aca="false">COUNT(G$5:G$17)</f>
        <v>10</v>
      </c>
      <c r="H26" s="50" t="n">
        <f aca="false">COUNT(H$5:H$17)</f>
        <v>10</v>
      </c>
      <c r="I26" s="51" t="n">
        <f aca="false">COUNTA($B$5:$B$17)</f>
        <v>10</v>
      </c>
    </row>
    <row r="27" customFormat="false" ht="6" hidden="false" customHeight="true" outlineLevel="0" collapsed="false"/>
    <row r="28" customFormat="false" ht="15" hidden="false" customHeight="true" outlineLevel="0" collapsed="false">
      <c r="B28" s="52" t="s">
        <v>46</v>
      </c>
      <c r="C28" s="52"/>
      <c r="D28" s="52"/>
      <c r="E28" s="52"/>
      <c r="F28" s="52"/>
      <c r="G28" s="52"/>
      <c r="H28" s="52"/>
      <c r="I28" s="52"/>
      <c r="J28" s="52"/>
      <c r="K28" s="52"/>
      <c r="L28" s="52"/>
      <c r="M28" s="52"/>
      <c r="N28" s="52"/>
      <c r="O28" s="52"/>
      <c r="P28" s="52"/>
      <c r="Q28" s="52"/>
      <c r="R28" s="52"/>
    </row>
    <row r="29" customFormat="false" ht="15" hidden="false" customHeight="true" outlineLevel="0" collapsed="false">
      <c r="B29" s="52"/>
      <c r="C29" s="52"/>
      <c r="D29" s="52"/>
      <c r="E29" s="52"/>
      <c r="F29" s="52"/>
      <c r="G29" s="52"/>
      <c r="H29" s="52"/>
      <c r="I29" s="52"/>
      <c r="J29" s="52"/>
      <c r="K29" s="52"/>
      <c r="L29" s="52"/>
      <c r="M29" s="52"/>
      <c r="N29" s="52"/>
      <c r="O29" s="52"/>
      <c r="P29" s="52"/>
      <c r="Q29" s="52"/>
      <c r="R29" s="52"/>
    </row>
    <row r="30" customFormat="false" ht="15" hidden="false" customHeight="true" outlineLevel="0" collapsed="false">
      <c r="B30" s="52"/>
      <c r="C30" s="52"/>
      <c r="D30" s="52"/>
      <c r="E30" s="52"/>
      <c r="F30" s="52"/>
      <c r="G30" s="52"/>
      <c r="H30" s="52"/>
      <c r="I30" s="52"/>
      <c r="J30" s="52"/>
      <c r="K30" s="52"/>
      <c r="L30" s="52"/>
      <c r="M30" s="52"/>
      <c r="N30" s="52"/>
      <c r="O30" s="52"/>
      <c r="P30" s="52"/>
      <c r="Q30" s="52"/>
      <c r="R30" s="52"/>
    </row>
  </sheetData>
  <mergeCells count="15">
    <mergeCell ref="A1:I1"/>
    <mergeCell ref="K1:O1"/>
    <mergeCell ref="A2:R2"/>
    <mergeCell ref="A5:R5"/>
    <mergeCell ref="A10:R10"/>
    <mergeCell ref="A14:R14"/>
    <mergeCell ref="A19:B19"/>
    <mergeCell ref="D19:R19"/>
    <mergeCell ref="A21:C21"/>
    <mergeCell ref="A22:C22"/>
    <mergeCell ref="A23:C23"/>
    <mergeCell ref="A24:C24"/>
    <mergeCell ref="A25:C25"/>
    <mergeCell ref="A26:C26"/>
    <mergeCell ref="B28:R30"/>
  </mergeCells>
  <conditionalFormatting sqref="L6:L17">
    <cfRule type="expression" priority="2" aboveAverage="0" equalAverage="0" bottom="0" percent="0" rank="0" text="" dxfId="0">
      <formula>L6="resolved"</formula>
    </cfRule>
    <cfRule type="expression" priority="3" aboveAverage="0" equalAverage="0" bottom="0" percent="0" rank="0" text="" dxfId="1">
      <formula>L6="unresolved"</formula>
    </cfRule>
  </conditionalFormatting>
  <conditionalFormatting sqref="Q6:Q17">
    <cfRule type="expression" priority="4" aboveAverage="0" equalAverage="0" bottom="0" percent="0" rank="0" text="" dxfId="2">
      <formula>AND(ISNUMBER(Q6),Q6&lt;=0)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51"/>
    <col collapsed="false" customWidth="true" hidden="false" outlineLevel="0" max="2" min="2" style="0" width="14.51"/>
    <col collapsed="false" customWidth="true" hidden="false" outlineLevel="0" max="15" min="3" style="0" width="11.5"/>
    <col collapsed="false" customWidth="true" hidden="false" outlineLevel="0" max="25" min="16" style="0" width="13"/>
  </cols>
  <sheetData>
    <row r="1" customFormat="false" ht="25.5" hidden="false" customHeight="true" outlineLevel="0" collapsed="false">
      <c r="A1" s="2" t="s">
        <v>47</v>
      </c>
      <c r="B1" s="2"/>
      <c r="C1" s="2"/>
      <c r="D1" s="2"/>
      <c r="E1" s="2"/>
      <c r="F1" s="2"/>
      <c r="G1" s="2"/>
      <c r="H1" s="2"/>
      <c r="I1" s="2"/>
      <c r="J1" s="2"/>
      <c r="K1" s="2"/>
      <c r="L1" s="2"/>
      <c r="M1" s="2"/>
      <c r="N1" s="2"/>
      <c r="O1" s="2"/>
    </row>
    <row r="2" customFormat="false" ht="27.75" hidden="false" customHeight="true" outlineLevel="0" collapsed="false">
      <c r="A2" s="5" t="s">
        <v>48</v>
      </c>
      <c r="B2" s="5"/>
      <c r="C2" s="5"/>
      <c r="D2" s="5"/>
      <c r="E2" s="5"/>
      <c r="F2" s="5"/>
      <c r="G2" s="5"/>
      <c r="H2" s="5"/>
      <c r="I2" s="5"/>
      <c r="J2" s="5"/>
      <c r="K2" s="5"/>
      <c r="L2" s="5"/>
      <c r="M2" s="5"/>
      <c r="N2" s="5"/>
      <c r="O2" s="5"/>
      <c r="P2" s="5"/>
      <c r="Q2" s="5"/>
      <c r="R2" s="5"/>
      <c r="S2" s="5"/>
      <c r="T2" s="5"/>
      <c r="U2" s="5"/>
      <c r="V2" s="5"/>
      <c r="W2" s="5"/>
      <c r="X2" s="5"/>
      <c r="Y2" s="5"/>
    </row>
    <row r="3" customFormat="false" ht="6.75" hidden="false" customHeight="true" outlineLevel="0" collapsed="false"/>
    <row r="4" customFormat="false" ht="18" hidden="false" customHeight="true" outlineLevel="0" collapsed="false">
      <c r="A4" s="6" t="s">
        <v>4</v>
      </c>
      <c r="B4" s="6" t="s">
        <v>5</v>
      </c>
      <c r="C4" s="6" t="s">
        <v>7</v>
      </c>
      <c r="D4" s="6"/>
      <c r="E4" s="6"/>
      <c r="F4" s="6" t="s">
        <v>8</v>
      </c>
      <c r="G4" s="6"/>
      <c r="H4" s="6"/>
      <c r="I4" s="6" t="s">
        <v>9</v>
      </c>
      <c r="J4" s="6"/>
      <c r="K4" s="6"/>
      <c r="L4" s="6" t="s">
        <v>10</v>
      </c>
      <c r="M4" s="6"/>
      <c r="N4" s="6"/>
      <c r="O4" s="6" t="s">
        <v>11</v>
      </c>
      <c r="P4" s="6" t="s">
        <v>49</v>
      </c>
      <c r="Q4" s="6"/>
      <c r="R4" s="6"/>
      <c r="S4" s="6"/>
      <c r="T4" s="6"/>
      <c r="U4" s="6" t="s">
        <v>50</v>
      </c>
      <c r="V4" s="6"/>
      <c r="W4" s="6"/>
      <c r="X4" s="6"/>
      <c r="Y4" s="6"/>
    </row>
    <row r="5" customFormat="false" ht="24" hidden="false" customHeight="true" outlineLevel="0" collapsed="false">
      <c r="A5" s="6"/>
      <c r="B5" s="6"/>
      <c r="C5" s="53" t="s">
        <v>51</v>
      </c>
      <c r="D5" s="53" t="s">
        <v>52</v>
      </c>
      <c r="E5" s="53" t="s">
        <v>53</v>
      </c>
      <c r="F5" s="53" t="s">
        <v>51</v>
      </c>
      <c r="G5" s="53" t="s">
        <v>52</v>
      </c>
      <c r="H5" s="53" t="s">
        <v>53</v>
      </c>
      <c r="I5" s="53" t="s">
        <v>51</v>
      </c>
      <c r="J5" s="53" t="s">
        <v>52</v>
      </c>
      <c r="K5" s="53" t="s">
        <v>53</v>
      </c>
      <c r="L5" s="53" t="s">
        <v>51</v>
      </c>
      <c r="M5" s="53" t="s">
        <v>52</v>
      </c>
      <c r="N5" s="53" t="s">
        <v>53</v>
      </c>
      <c r="O5" s="53" t="s">
        <v>54</v>
      </c>
      <c r="P5" s="53" t="s">
        <v>7</v>
      </c>
      <c r="Q5" s="53" t="s">
        <v>8</v>
      </c>
      <c r="R5" s="53" t="s">
        <v>9</v>
      </c>
      <c r="S5" s="53" t="s">
        <v>10</v>
      </c>
      <c r="T5" s="53" t="s">
        <v>11</v>
      </c>
      <c r="U5" s="53" t="s">
        <v>7</v>
      </c>
      <c r="V5" s="53" t="s">
        <v>8</v>
      </c>
      <c r="W5" s="53" t="s">
        <v>9</v>
      </c>
      <c r="X5" s="53" t="s">
        <v>10</v>
      </c>
      <c r="Y5" s="53" t="s">
        <v>11</v>
      </c>
    </row>
    <row r="6" customFormat="false" ht="19.5" hidden="false" customHeight="true" outlineLevel="0" collapsed="false">
      <c r="A6" s="8" t="n">
        <v>1</v>
      </c>
      <c r="B6" s="9" t="s">
        <v>23</v>
      </c>
      <c r="C6" s="11" t="n">
        <v>-1807719</v>
      </c>
      <c r="D6" s="11" t="n">
        <v>-1808034</v>
      </c>
      <c r="E6" s="11" t="n">
        <v>-1807148</v>
      </c>
      <c r="F6" s="11" t="n">
        <v>-1820882</v>
      </c>
      <c r="G6" s="11" t="n">
        <v>-1819464</v>
      </c>
      <c r="H6" s="11" t="n">
        <v>-1818926</v>
      </c>
      <c r="I6" s="11" t="n">
        <v>-1827490</v>
      </c>
      <c r="J6" s="11" t="n">
        <v>-1812221</v>
      </c>
      <c r="K6" s="11" t="n">
        <v>-1810922</v>
      </c>
      <c r="L6" s="11" t="n">
        <v>-1814530</v>
      </c>
      <c r="M6" s="11" t="n">
        <v>-1815437</v>
      </c>
      <c r="N6" s="11" t="n">
        <v>-1814547</v>
      </c>
      <c r="O6" s="11" t="n">
        <v>-1814518</v>
      </c>
      <c r="P6" s="13" t="n">
        <f aca="false">IF(COUNT(C6:E6)=0,"—",MEDIAN(C6:E6))</f>
        <v>-1807719</v>
      </c>
      <c r="Q6" s="13" t="n">
        <f aca="false">IF(COUNT(F6:H6)=0,"—",MEDIAN(F6:H6))</f>
        <v>-1819464</v>
      </c>
      <c r="R6" s="13" t="n">
        <f aca="false">IF(COUNT(I6:K6)=0,"—",MEDIAN(I6:K6))</f>
        <v>-1812221</v>
      </c>
      <c r="S6" s="13" t="n">
        <f aca="false">IF(COUNT(L6:N6)=0,"—",MEDIAN(L6:N6))</f>
        <v>-1814547</v>
      </c>
      <c r="T6" s="13" t="n">
        <f aca="false">O6</f>
        <v>-1814518</v>
      </c>
      <c r="U6" s="13" t="n">
        <f aca="false">IF(COUNT(C6:E6)=0,"—",MAX(C6:E6))</f>
        <v>-1807148</v>
      </c>
      <c r="V6" s="13" t="n">
        <f aca="false">IF(COUNT(F6:H6)=0,"—",MAX(F6:H6))</f>
        <v>-1818926</v>
      </c>
      <c r="W6" s="13" t="n">
        <f aca="false">IF(COUNT(I6:K6)=0,"—",MAX(I6:K6))</f>
        <v>-1810922</v>
      </c>
      <c r="X6" s="13" t="n">
        <f aca="false">IF(COUNT(L6:N6)=0,"—",MAX(L6:N6))</f>
        <v>-1814530</v>
      </c>
      <c r="Y6" s="13" t="n">
        <f aca="false">O6</f>
        <v>-1814518</v>
      </c>
    </row>
    <row r="7" customFormat="false" ht="19.5" hidden="false" customHeight="true" outlineLevel="0" collapsed="false">
      <c r="A7" s="19" t="n">
        <v>2</v>
      </c>
      <c r="B7" s="20" t="s">
        <v>24</v>
      </c>
      <c r="C7" s="22" t="n">
        <v>-1804199</v>
      </c>
      <c r="D7" s="22" t="n">
        <v>-1803399</v>
      </c>
      <c r="E7" s="22" t="n">
        <v>-1804510</v>
      </c>
      <c r="F7" s="22" t="n">
        <v>-1818732</v>
      </c>
      <c r="G7" s="22" t="n">
        <v>-1814806</v>
      </c>
      <c r="H7" s="22" t="n">
        <v>-1818062</v>
      </c>
      <c r="I7" s="22" t="n">
        <v>-1816878</v>
      </c>
      <c r="J7" s="22" t="n">
        <v>-1815564</v>
      </c>
      <c r="K7" s="22" t="n">
        <v>-1815654</v>
      </c>
      <c r="L7" s="22" t="n">
        <v>-1819934</v>
      </c>
      <c r="M7" s="22" t="n">
        <v>-1818612</v>
      </c>
      <c r="N7" s="22" t="n">
        <v>-1818742</v>
      </c>
      <c r="O7" s="22" t="n">
        <v>-1818533</v>
      </c>
      <c r="P7" s="54" t="n">
        <f aca="false">IF(COUNT(C7:E7)=0,"—",MEDIAN(C7:E7))</f>
        <v>-1804199</v>
      </c>
      <c r="Q7" s="54" t="n">
        <f aca="false">IF(COUNT(F7:H7)=0,"—",MEDIAN(F7:H7))</f>
        <v>-1818062</v>
      </c>
      <c r="R7" s="54" t="n">
        <f aca="false">IF(COUNT(I7:K7)=0,"—",MEDIAN(I7:K7))</f>
        <v>-1815654</v>
      </c>
      <c r="S7" s="54" t="n">
        <f aca="false">IF(COUNT(L7:N7)=0,"—",MEDIAN(L7:N7))</f>
        <v>-1818742</v>
      </c>
      <c r="T7" s="54" t="n">
        <f aca="false">O7</f>
        <v>-1818533</v>
      </c>
      <c r="U7" s="54" t="n">
        <f aca="false">IF(COUNT(C7:E7)=0,"—",MAX(C7:E7))</f>
        <v>-1803399</v>
      </c>
      <c r="V7" s="54" t="n">
        <f aca="false">IF(COUNT(F7:H7)=0,"—",MAX(F7:H7))</f>
        <v>-1814806</v>
      </c>
      <c r="W7" s="54" t="n">
        <f aca="false">IF(COUNT(I7:K7)=0,"—",MAX(I7:K7))</f>
        <v>-1815564</v>
      </c>
      <c r="X7" s="54" t="n">
        <f aca="false">IF(COUNT(L7:N7)=0,"—",MAX(L7:N7))</f>
        <v>-1818612</v>
      </c>
      <c r="Y7" s="54" t="n">
        <f aca="false">O7</f>
        <v>-1818533</v>
      </c>
    </row>
    <row r="8" customFormat="false" ht="19.5" hidden="false" customHeight="true" outlineLevel="0" collapsed="false">
      <c r="A8" s="8" t="n">
        <v>3</v>
      </c>
      <c r="B8" s="9" t="s">
        <v>26</v>
      </c>
      <c r="C8" s="11" t="n">
        <v>-1803847</v>
      </c>
      <c r="D8" s="11" t="n">
        <v>-1802840</v>
      </c>
      <c r="E8" s="11" t="n">
        <v>-1803596</v>
      </c>
      <c r="F8" s="11" t="n">
        <v>-1817443</v>
      </c>
      <c r="G8" s="11" t="n">
        <v>-1820165</v>
      </c>
      <c r="H8" s="11" t="n">
        <v>-1817634</v>
      </c>
      <c r="I8" s="11" t="n">
        <v>-1817483</v>
      </c>
      <c r="J8" s="11" t="n">
        <v>-1815355</v>
      </c>
      <c r="K8" s="11" t="n">
        <v>-1815756</v>
      </c>
      <c r="L8" s="11" t="n">
        <v>-1819894</v>
      </c>
      <c r="M8" s="11" t="n">
        <v>-1819958</v>
      </c>
      <c r="N8" s="11" t="n">
        <v>-1819911</v>
      </c>
      <c r="O8" s="11" t="n">
        <v>-1819873</v>
      </c>
      <c r="P8" s="13" t="n">
        <f aca="false">IF(COUNT(C8:E8)=0,"—",MEDIAN(C8:E8))</f>
        <v>-1803596</v>
      </c>
      <c r="Q8" s="13" t="n">
        <f aca="false">IF(COUNT(F8:H8)=0,"—",MEDIAN(F8:H8))</f>
        <v>-1817634</v>
      </c>
      <c r="R8" s="13" t="n">
        <f aca="false">IF(COUNT(I8:K8)=0,"—",MEDIAN(I8:K8))</f>
        <v>-1815756</v>
      </c>
      <c r="S8" s="13" t="n">
        <f aca="false">IF(COUNT(L8:N8)=0,"—",MEDIAN(L8:N8))</f>
        <v>-1819911</v>
      </c>
      <c r="T8" s="13" t="n">
        <f aca="false">O8</f>
        <v>-1819873</v>
      </c>
      <c r="U8" s="13" t="n">
        <f aca="false">IF(COUNT(C8:E8)=0,"—",MAX(C8:E8))</f>
        <v>-1802840</v>
      </c>
      <c r="V8" s="13" t="n">
        <f aca="false">IF(COUNT(F8:H8)=0,"—",MAX(F8:H8))</f>
        <v>-1817443</v>
      </c>
      <c r="W8" s="13" t="n">
        <f aca="false">IF(COUNT(I8:K8)=0,"—",MAX(I8:K8))</f>
        <v>-1815355</v>
      </c>
      <c r="X8" s="13" t="n">
        <f aca="false">IF(COUNT(L8:N8)=0,"—",MAX(L8:N8))</f>
        <v>-1819894</v>
      </c>
      <c r="Y8" s="13" t="n">
        <f aca="false">O8</f>
        <v>-1819873</v>
      </c>
    </row>
    <row r="9" customFormat="false" ht="19.5" hidden="false" customHeight="true" outlineLevel="0" collapsed="false">
      <c r="A9" s="19" t="n">
        <v>4</v>
      </c>
      <c r="B9" s="20" t="s">
        <v>27</v>
      </c>
      <c r="C9" s="22" t="n">
        <v>-1803163</v>
      </c>
      <c r="D9" s="22" t="n">
        <v>-1804271</v>
      </c>
      <c r="E9" s="22" t="n">
        <v>-1804390</v>
      </c>
      <c r="F9" s="22" t="n">
        <v>-1817640</v>
      </c>
      <c r="G9" s="22" t="n">
        <v>-1816338</v>
      </c>
      <c r="H9" s="22" t="n">
        <v>-1816772</v>
      </c>
      <c r="I9" s="22" t="n">
        <v>-1816534</v>
      </c>
      <c r="J9" s="22" t="n">
        <v>-1814924</v>
      </c>
      <c r="K9" s="22" t="n">
        <v>-1815948</v>
      </c>
      <c r="L9" s="22" t="n">
        <v>-1819897</v>
      </c>
      <c r="M9" s="22" t="n">
        <v>-1819942</v>
      </c>
      <c r="N9" s="22" t="n">
        <v>-1819944</v>
      </c>
      <c r="O9" s="22" t="n">
        <v>-1819873</v>
      </c>
      <c r="P9" s="54" t="n">
        <f aca="false">IF(COUNT(C9:E9)=0,"—",MEDIAN(C9:E9))</f>
        <v>-1804271</v>
      </c>
      <c r="Q9" s="54" t="n">
        <f aca="false">IF(COUNT(F9:H9)=0,"—",MEDIAN(F9:H9))</f>
        <v>-1816772</v>
      </c>
      <c r="R9" s="54" t="n">
        <f aca="false">IF(COUNT(I9:K9)=0,"—",MEDIAN(I9:K9))</f>
        <v>-1815948</v>
      </c>
      <c r="S9" s="54" t="n">
        <f aca="false">IF(COUNT(L9:N9)=0,"—",MEDIAN(L9:N9))</f>
        <v>-1819942</v>
      </c>
      <c r="T9" s="54" t="n">
        <f aca="false">O9</f>
        <v>-1819873</v>
      </c>
      <c r="U9" s="54" t="n">
        <f aca="false">IF(COUNT(C9:E9)=0,"—",MAX(C9:E9))</f>
        <v>-1803163</v>
      </c>
      <c r="V9" s="54" t="n">
        <f aca="false">IF(COUNT(F9:H9)=0,"—",MAX(F9:H9))</f>
        <v>-1816338</v>
      </c>
      <c r="W9" s="54" t="n">
        <f aca="false">IF(COUNT(I9:K9)=0,"—",MAX(I9:K9))</f>
        <v>-1814924</v>
      </c>
      <c r="X9" s="54" t="n">
        <f aca="false">IF(COUNT(L9:N9)=0,"—",MAX(L9:N9))</f>
        <v>-1819897</v>
      </c>
      <c r="Y9" s="54" t="n">
        <f aca="false">O9</f>
        <v>-1819873</v>
      </c>
    </row>
    <row r="10" customFormat="false" ht="19.5" hidden="false" customHeight="true" outlineLevel="0" collapsed="false">
      <c r="A10" s="8" t="n">
        <v>5</v>
      </c>
      <c r="B10" s="9" t="s">
        <v>29</v>
      </c>
      <c r="C10" s="11" t="n">
        <v>-1659249</v>
      </c>
      <c r="D10" s="11" t="n">
        <v>-1663147</v>
      </c>
      <c r="E10" s="11" t="n">
        <v>-1658182</v>
      </c>
      <c r="F10" s="11" t="n">
        <v>-1674300</v>
      </c>
      <c r="G10" s="11" t="n">
        <v>-1682428</v>
      </c>
      <c r="H10" s="11" t="n">
        <v>-1602052</v>
      </c>
      <c r="I10" s="11" t="n">
        <v>-1566543</v>
      </c>
      <c r="J10" s="11" t="n">
        <v>-1544821</v>
      </c>
      <c r="K10" s="11" t="n">
        <v>-1546986</v>
      </c>
      <c r="L10" s="11" t="n">
        <v>-1615216</v>
      </c>
      <c r="M10" s="11" t="n">
        <v>-1612542</v>
      </c>
      <c r="N10" s="11" t="n">
        <v>-1608489</v>
      </c>
      <c r="O10" s="11" t="n">
        <v>-1606387</v>
      </c>
      <c r="P10" s="13" t="n">
        <f aca="false">IF(COUNT(C10:E10)=0,"—",MEDIAN(C10:E10))</f>
        <v>-1659249</v>
      </c>
      <c r="Q10" s="13" t="n">
        <f aca="false">IF(COUNT(F10:H10)=0,"—",MEDIAN(F10:H10))</f>
        <v>-1674300</v>
      </c>
      <c r="R10" s="13" t="n">
        <f aca="false">IF(COUNT(I10:K10)=0,"—",MEDIAN(I10:K10))</f>
        <v>-1546986</v>
      </c>
      <c r="S10" s="13" t="n">
        <f aca="false">IF(COUNT(L10:N10)=0,"—",MEDIAN(L10:N10))</f>
        <v>-1612542</v>
      </c>
      <c r="T10" s="13" t="n">
        <f aca="false">O10</f>
        <v>-1606387</v>
      </c>
      <c r="U10" s="13" t="n">
        <f aca="false">IF(COUNT(C10:E10)=0,"—",MAX(C10:E10))</f>
        <v>-1658182</v>
      </c>
      <c r="V10" s="13" t="n">
        <f aca="false">IF(COUNT(F10:H10)=0,"—",MAX(F10:H10))</f>
        <v>-1602052</v>
      </c>
      <c r="W10" s="13" t="n">
        <f aca="false">IF(COUNT(I10:K10)=0,"—",MAX(I10:K10))</f>
        <v>-1544821</v>
      </c>
      <c r="X10" s="13" t="n">
        <f aca="false">IF(COUNT(L10:N10)=0,"—",MAX(L10:N10))</f>
        <v>-1608489</v>
      </c>
      <c r="Y10" s="13" t="n">
        <f aca="false">O10</f>
        <v>-1606387</v>
      </c>
    </row>
    <row r="11" customFormat="false" ht="19.5" hidden="false" customHeight="true" outlineLevel="0" collapsed="false">
      <c r="A11" s="19" t="n">
        <v>6</v>
      </c>
      <c r="B11" s="20" t="s">
        <v>30</v>
      </c>
      <c r="C11" s="22" t="n">
        <v>-1585523</v>
      </c>
      <c r="D11" s="22" t="n">
        <v>-1586305</v>
      </c>
      <c r="E11" s="22" t="n">
        <v>-1584087</v>
      </c>
      <c r="F11" s="22" t="n">
        <v>-1592293</v>
      </c>
      <c r="G11" s="22" t="n">
        <v>-1588433</v>
      </c>
      <c r="H11" s="22" t="n">
        <v>-1592317</v>
      </c>
      <c r="I11" s="22" t="n">
        <v>-1470135</v>
      </c>
      <c r="J11" s="22" t="n">
        <v>-1483952</v>
      </c>
      <c r="K11" s="22" t="n">
        <v>-1482556</v>
      </c>
      <c r="L11" s="22" t="n">
        <v>-1551822</v>
      </c>
      <c r="M11" s="22" t="n">
        <v>-1550823</v>
      </c>
      <c r="N11" s="22" t="n">
        <v>-1564037</v>
      </c>
      <c r="O11" s="22" t="n">
        <v>-1554095</v>
      </c>
      <c r="P11" s="54" t="n">
        <f aca="false">IF(COUNT(C11:E11)=0,"—",MEDIAN(C11:E11))</f>
        <v>-1585523</v>
      </c>
      <c r="Q11" s="54" t="n">
        <f aca="false">IF(COUNT(F11:H11)=0,"—",MEDIAN(F11:H11))</f>
        <v>-1592293</v>
      </c>
      <c r="R11" s="54" t="n">
        <f aca="false">IF(COUNT(I11:K11)=0,"—",MEDIAN(I11:K11))</f>
        <v>-1482556</v>
      </c>
      <c r="S11" s="54" t="n">
        <f aca="false">IF(COUNT(L11:N11)=0,"—",MEDIAN(L11:N11))</f>
        <v>-1551822</v>
      </c>
      <c r="T11" s="54" t="n">
        <f aca="false">O11</f>
        <v>-1554095</v>
      </c>
      <c r="U11" s="54" t="n">
        <f aca="false">IF(COUNT(C11:E11)=0,"—",MAX(C11:E11))</f>
        <v>-1584087</v>
      </c>
      <c r="V11" s="54" t="n">
        <f aca="false">IF(COUNT(F11:H11)=0,"—",MAX(F11:H11))</f>
        <v>-1588433</v>
      </c>
      <c r="W11" s="54" t="n">
        <f aca="false">IF(COUNT(I11:K11)=0,"—",MAX(I11:K11))</f>
        <v>-1470135</v>
      </c>
      <c r="X11" s="54" t="n">
        <f aca="false">IF(COUNT(L11:N11)=0,"—",MAX(L11:N11))</f>
        <v>-1550823</v>
      </c>
      <c r="Y11" s="54" t="n">
        <f aca="false">O11</f>
        <v>-1554095</v>
      </c>
    </row>
    <row r="12" customFormat="false" ht="19.5" hidden="false" customHeight="true" outlineLevel="0" collapsed="false">
      <c r="A12" s="8" t="n">
        <v>7</v>
      </c>
      <c r="B12" s="9" t="s">
        <v>31</v>
      </c>
      <c r="C12" s="11" t="n">
        <v>-1578844</v>
      </c>
      <c r="D12" s="11" t="n">
        <v>-1581827</v>
      </c>
      <c r="E12" s="11" t="n">
        <v>-1582930</v>
      </c>
      <c r="F12" s="11" t="n">
        <v>-1554874</v>
      </c>
      <c r="G12" s="11" t="n">
        <v>-1551853</v>
      </c>
      <c r="H12" s="11" t="n">
        <v>-1597450</v>
      </c>
      <c r="I12" s="11" t="n">
        <v>-1465258</v>
      </c>
      <c r="J12" s="11" t="n">
        <v>-1473387</v>
      </c>
      <c r="K12" s="11" t="n">
        <v>-1462223</v>
      </c>
      <c r="L12" s="11" t="n">
        <v>-1562142</v>
      </c>
      <c r="M12" s="11" t="n">
        <v>-1554222</v>
      </c>
      <c r="N12" s="11" t="n">
        <v>-1551628</v>
      </c>
      <c r="O12" s="11" t="n">
        <v>-1558465</v>
      </c>
      <c r="P12" s="13" t="n">
        <f aca="false">IF(COUNT(C12:E12)=0,"—",MEDIAN(C12:E12))</f>
        <v>-1581827</v>
      </c>
      <c r="Q12" s="13" t="n">
        <f aca="false">IF(COUNT(F12:H12)=0,"—",MEDIAN(F12:H12))</f>
        <v>-1554874</v>
      </c>
      <c r="R12" s="13" t="n">
        <f aca="false">IF(COUNT(I12:K12)=0,"—",MEDIAN(I12:K12))</f>
        <v>-1465258</v>
      </c>
      <c r="S12" s="13" t="n">
        <f aca="false">IF(COUNT(L12:N12)=0,"—",MEDIAN(L12:N12))</f>
        <v>-1554222</v>
      </c>
      <c r="T12" s="13" t="n">
        <f aca="false">O12</f>
        <v>-1558465</v>
      </c>
      <c r="U12" s="13" t="n">
        <f aca="false">IF(COUNT(C12:E12)=0,"—",MAX(C12:E12))</f>
        <v>-1578844</v>
      </c>
      <c r="V12" s="13" t="n">
        <f aca="false">IF(COUNT(F12:H12)=0,"—",MAX(F12:H12))</f>
        <v>-1551853</v>
      </c>
      <c r="W12" s="13" t="n">
        <f aca="false">IF(COUNT(I12:K12)=0,"—",MAX(I12:K12))</f>
        <v>-1462223</v>
      </c>
      <c r="X12" s="13" t="n">
        <f aca="false">IF(COUNT(L12:N12)=0,"—",MAX(L12:N12))</f>
        <v>-1551628</v>
      </c>
      <c r="Y12" s="13" t="n">
        <f aca="false">O12</f>
        <v>-1558465</v>
      </c>
    </row>
    <row r="13" customFormat="false" ht="19.5" hidden="false" customHeight="true" outlineLevel="0" collapsed="false">
      <c r="A13" s="19" t="n">
        <v>8</v>
      </c>
      <c r="B13" s="20" t="s">
        <v>33</v>
      </c>
      <c r="C13" s="22" t="n">
        <v>-5329389</v>
      </c>
      <c r="D13" s="22" t="n">
        <v>-5290070</v>
      </c>
      <c r="E13" s="22" t="n">
        <v>-5262127</v>
      </c>
      <c r="F13" s="22" t="n">
        <v>-4829467</v>
      </c>
      <c r="G13" s="22" t="n">
        <v>-4836783</v>
      </c>
      <c r="H13" s="22" t="n">
        <v>-4834244</v>
      </c>
      <c r="I13" s="55" t="s">
        <v>34</v>
      </c>
      <c r="J13" s="55" t="s">
        <v>34</v>
      </c>
      <c r="K13" s="55" t="s">
        <v>34</v>
      </c>
      <c r="L13" s="22" t="n">
        <v>-4796797</v>
      </c>
      <c r="M13" s="22" t="n">
        <v>-4800393</v>
      </c>
      <c r="N13" s="22" t="n">
        <v>-4804444</v>
      </c>
      <c r="O13" s="22" t="n">
        <v>-4793652</v>
      </c>
      <c r="P13" s="54" t="n">
        <f aca="false">IF(COUNT(C13:E13)=0,"—",MEDIAN(C13:E13))</f>
        <v>-5290070</v>
      </c>
      <c r="Q13" s="54" t="n">
        <f aca="false">IF(COUNT(F13:H13)=0,"—",MEDIAN(F13:H13))</f>
        <v>-4834244</v>
      </c>
      <c r="R13" s="54" t="str">
        <f aca="false">IF(COUNT(I13:K13)=0,"—",MEDIAN(I13:K13))</f>
        <v>—</v>
      </c>
      <c r="S13" s="54" t="n">
        <f aca="false">IF(COUNT(L13:N13)=0,"—",MEDIAN(L13:N13))</f>
        <v>-4800393</v>
      </c>
      <c r="T13" s="54" t="n">
        <f aca="false">O13</f>
        <v>-4793652</v>
      </c>
      <c r="U13" s="54" t="n">
        <f aca="false">IF(COUNT(C13:E13)=0,"—",MAX(C13:E13))</f>
        <v>-5262127</v>
      </c>
      <c r="V13" s="54" t="n">
        <f aca="false">IF(COUNT(F13:H13)=0,"—",MAX(F13:H13))</f>
        <v>-4829467</v>
      </c>
      <c r="W13" s="54" t="str">
        <f aca="false">IF(COUNT(I13:K13)=0,"—",MAX(I13:K13))</f>
        <v>—</v>
      </c>
      <c r="X13" s="54" t="n">
        <f aca="false">IF(COUNT(L13:N13)=0,"—",MAX(L13:N13))</f>
        <v>-4796797</v>
      </c>
      <c r="Y13" s="54" t="n">
        <f aca="false">O13</f>
        <v>-4793652</v>
      </c>
    </row>
    <row r="14" customFormat="false" ht="19.5" hidden="false" customHeight="true" outlineLevel="0" collapsed="false">
      <c r="A14" s="8" t="n">
        <v>9</v>
      </c>
      <c r="B14" s="9" t="s">
        <v>35</v>
      </c>
      <c r="C14" s="11" t="n">
        <v>-5167178</v>
      </c>
      <c r="D14" s="11" t="n">
        <v>-5056039</v>
      </c>
      <c r="E14" s="11" t="n">
        <v>-5031713</v>
      </c>
      <c r="F14" s="11" t="n">
        <v>-4795794</v>
      </c>
      <c r="G14" s="11" t="n">
        <v>-4796236</v>
      </c>
      <c r="H14" s="11" t="n">
        <v>-4797902</v>
      </c>
      <c r="I14" s="56" t="s">
        <v>34</v>
      </c>
      <c r="J14" s="56" t="s">
        <v>34</v>
      </c>
      <c r="K14" s="56" t="s">
        <v>34</v>
      </c>
      <c r="L14" s="11" t="n">
        <v>-4795457</v>
      </c>
      <c r="M14" s="11" t="n">
        <v>-4795376</v>
      </c>
      <c r="N14" s="11" t="n">
        <v>-4795615</v>
      </c>
      <c r="O14" s="11" t="n">
        <v>-4793652</v>
      </c>
      <c r="P14" s="13" t="n">
        <f aca="false">IF(COUNT(C14:E14)=0,"—",MEDIAN(C14:E14))</f>
        <v>-5056039</v>
      </c>
      <c r="Q14" s="13" t="n">
        <f aca="false">IF(COUNT(F14:H14)=0,"—",MEDIAN(F14:H14))</f>
        <v>-4796236</v>
      </c>
      <c r="R14" s="13" t="str">
        <f aca="false">IF(COUNT(I14:K14)=0,"—",MEDIAN(I14:K14))</f>
        <v>—</v>
      </c>
      <c r="S14" s="13" t="n">
        <f aca="false">IF(COUNT(L14:N14)=0,"—",MEDIAN(L14:N14))</f>
        <v>-4795457</v>
      </c>
      <c r="T14" s="13" t="n">
        <f aca="false">O14</f>
        <v>-4793652</v>
      </c>
      <c r="U14" s="13" t="n">
        <f aca="false">IF(COUNT(C14:E14)=0,"—",MAX(C14:E14))</f>
        <v>-5031713</v>
      </c>
      <c r="V14" s="13" t="n">
        <f aca="false">IF(COUNT(F14:H14)=0,"—",MAX(F14:H14))</f>
        <v>-4795794</v>
      </c>
      <c r="W14" s="13" t="str">
        <f aca="false">IF(COUNT(I14:K14)=0,"—",MAX(I14:K14))</f>
        <v>—</v>
      </c>
      <c r="X14" s="13" t="n">
        <f aca="false">IF(COUNT(L14:N14)=0,"—",MAX(L14:N14))</f>
        <v>-4795376</v>
      </c>
      <c r="Y14" s="13" t="n">
        <f aca="false">O14</f>
        <v>-4793652</v>
      </c>
    </row>
    <row r="15" customFormat="false" ht="19.5" hidden="false" customHeight="true" outlineLevel="0" collapsed="false">
      <c r="A15" s="19" t="n">
        <v>10</v>
      </c>
      <c r="B15" s="20" t="s">
        <v>36</v>
      </c>
      <c r="C15" s="22" t="n">
        <v>-4930101</v>
      </c>
      <c r="D15" s="22" t="n">
        <v>-4921607</v>
      </c>
      <c r="E15" s="22" t="n">
        <v>-5203583</v>
      </c>
      <c r="F15" s="22" t="n">
        <v>-4794398</v>
      </c>
      <c r="G15" s="22" t="n">
        <v>-4795646</v>
      </c>
      <c r="H15" s="22" t="n">
        <v>-4800009</v>
      </c>
      <c r="I15" s="55" t="s">
        <v>34</v>
      </c>
      <c r="J15" s="55" t="s">
        <v>34</v>
      </c>
      <c r="K15" s="55" t="s">
        <v>34</v>
      </c>
      <c r="L15" s="22" t="n">
        <v>-4795431</v>
      </c>
      <c r="M15" s="22" t="n">
        <v>-4795315</v>
      </c>
      <c r="N15" s="22" t="n">
        <v>-4795299</v>
      </c>
      <c r="O15" s="22" t="n">
        <v>-4793652</v>
      </c>
      <c r="P15" s="54" t="n">
        <f aca="false">IF(COUNT(C15:E15)=0,"—",MEDIAN(C15:E15))</f>
        <v>-4930101</v>
      </c>
      <c r="Q15" s="54" t="n">
        <f aca="false">IF(COUNT(F15:H15)=0,"—",MEDIAN(F15:H15))</f>
        <v>-4795646</v>
      </c>
      <c r="R15" s="54" t="str">
        <f aca="false">IF(COUNT(I15:K15)=0,"—",MEDIAN(I15:K15))</f>
        <v>—</v>
      </c>
      <c r="S15" s="54" t="n">
        <f aca="false">IF(COUNT(L15:N15)=0,"—",MEDIAN(L15:N15))</f>
        <v>-4795315</v>
      </c>
      <c r="T15" s="54" t="n">
        <f aca="false">O15</f>
        <v>-4793652</v>
      </c>
      <c r="U15" s="54" t="n">
        <f aca="false">IF(COUNT(C15:E15)=0,"—",MAX(C15:E15))</f>
        <v>-4921607</v>
      </c>
      <c r="V15" s="54" t="n">
        <f aca="false">IF(COUNT(F15:H15)=0,"—",MAX(F15:H15))</f>
        <v>-4794398</v>
      </c>
      <c r="W15" s="54" t="str">
        <f aca="false">IF(COUNT(I15:K15)=0,"—",MAX(I15:K15))</f>
        <v>—</v>
      </c>
      <c r="X15" s="54" t="n">
        <f aca="false">IF(COUNT(L15:N15)=0,"—",MAX(L15:N15))</f>
        <v>-4795299</v>
      </c>
      <c r="Y15" s="54" t="n">
        <f aca="false">O15</f>
        <v>-4793652</v>
      </c>
    </row>
    <row r="17" customFormat="false" ht="15" hidden="false" customHeight="true" outlineLevel="0" collapsed="false">
      <c r="B17" s="52" t="s">
        <v>55</v>
      </c>
      <c r="C17" s="52"/>
      <c r="D17" s="52"/>
      <c r="E17" s="52"/>
      <c r="F17" s="52"/>
      <c r="G17" s="52"/>
      <c r="H17" s="52"/>
      <c r="I17" s="52"/>
      <c r="J17" s="52"/>
      <c r="K17" s="52"/>
      <c r="L17" s="52"/>
      <c r="M17" s="52"/>
      <c r="N17" s="52"/>
      <c r="O17" s="52"/>
      <c r="P17" s="52"/>
      <c r="Q17" s="52"/>
      <c r="R17" s="52"/>
      <c r="S17" s="52"/>
      <c r="T17" s="52"/>
      <c r="U17" s="52"/>
      <c r="V17" s="52"/>
      <c r="W17" s="52"/>
      <c r="X17" s="52"/>
      <c r="Y17" s="52"/>
    </row>
    <row r="18" customFormat="false" ht="15" hidden="false" customHeight="true" outlineLevel="0" collapsed="false">
      <c r="B18" s="52"/>
      <c r="C18" s="52"/>
      <c r="D18" s="52"/>
      <c r="E18" s="52"/>
      <c r="F18" s="52"/>
      <c r="G18" s="52"/>
      <c r="H18" s="52"/>
      <c r="I18" s="52"/>
      <c r="J18" s="52"/>
      <c r="K18" s="52"/>
      <c r="L18" s="52"/>
      <c r="M18" s="52"/>
      <c r="N18" s="52"/>
      <c r="O18" s="52"/>
      <c r="P18" s="52"/>
      <c r="Q18" s="52"/>
      <c r="R18" s="52"/>
      <c r="S18" s="52"/>
      <c r="T18" s="52"/>
      <c r="U18" s="52"/>
      <c r="V18" s="52"/>
      <c r="W18" s="52"/>
      <c r="X18" s="52"/>
      <c r="Y18" s="52"/>
    </row>
  </sheetData>
  <mergeCells count="11">
    <mergeCell ref="A1:O1"/>
    <mergeCell ref="A2:Y2"/>
    <mergeCell ref="A4:A5"/>
    <mergeCell ref="B4:B5"/>
    <mergeCell ref="C4:E4"/>
    <mergeCell ref="F4:H4"/>
    <mergeCell ref="I4:K4"/>
    <mergeCell ref="L4:N4"/>
    <mergeCell ref="P4:T4"/>
    <mergeCell ref="U4:Y4"/>
    <mergeCell ref="B17:Y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52"/>
    <col collapsed="false" customWidth="true" hidden="false" outlineLevel="0" max="2" min="2" style="1" width="14.52"/>
    <col collapsed="false" customWidth="true" hidden="false" outlineLevel="0" max="3" min="3" style="1" width="15.51"/>
    <col collapsed="false" customWidth="true" hidden="false" outlineLevel="0" max="4" min="4" style="1" width="8.5"/>
    <col collapsed="false" customWidth="true" hidden="false" outlineLevel="0" max="5" min="5" style="1" width="10.51"/>
    <col collapsed="false" customWidth="true" hidden="false" outlineLevel="0" max="6" min="6" style="1" width="8.5"/>
    <col collapsed="false" customWidth="true" hidden="false" outlineLevel="0" max="7" min="7" style="1" width="15.51"/>
    <col collapsed="false" customWidth="true" hidden="false" outlineLevel="0" max="8" min="8" style="1" width="14.52"/>
    <col collapsed="false" customWidth="true" hidden="false" outlineLevel="0" max="9" min="9" style="1" width="14"/>
    <col collapsed="false" customWidth="true" hidden="false" outlineLevel="0" max="10" min="10" style="1" width="17"/>
    <col collapsed="false" customWidth="true" hidden="false" outlineLevel="0" max="11" min="11" style="1" width="16"/>
    <col collapsed="false" customWidth="true" hidden="false" outlineLevel="0" max="12" min="12" style="1" width="46"/>
  </cols>
  <sheetData>
    <row r="1" customFormat="false" ht="24" hidden="false" customHeight="true" outlineLevel="0" collapsed="false">
      <c r="A1" s="57" t="s">
        <v>56</v>
      </c>
      <c r="B1" s="57"/>
      <c r="C1" s="57"/>
      <c r="D1" s="57"/>
      <c r="E1" s="57"/>
      <c r="F1" s="57"/>
      <c r="G1" s="57"/>
      <c r="H1" s="57"/>
      <c r="I1" s="57"/>
      <c r="J1" s="57"/>
      <c r="K1" s="57"/>
      <c r="L1" s="57"/>
    </row>
    <row r="2" customFormat="false" ht="27.75" hidden="false" customHeight="true" outlineLevel="0" collapsed="false">
      <c r="A2" s="5" t="s">
        <v>57</v>
      </c>
      <c r="B2" s="5"/>
      <c r="C2" s="5"/>
      <c r="D2" s="5"/>
      <c r="E2" s="5"/>
      <c r="F2" s="5"/>
      <c r="G2" s="5"/>
      <c r="H2" s="5"/>
      <c r="I2" s="5"/>
      <c r="J2" s="5"/>
      <c r="K2" s="5"/>
      <c r="L2" s="5"/>
    </row>
    <row r="3" customFormat="false" ht="6.75" hidden="false" customHeight="true" outlineLevel="0" collapsed="false"/>
    <row r="4" customFormat="false" ht="33.75" hidden="false" customHeight="true" outlineLevel="0" collapsed="false">
      <c r="A4" s="6" t="s">
        <v>4</v>
      </c>
      <c r="B4" s="6" t="s">
        <v>5</v>
      </c>
      <c r="C4" s="6" t="s">
        <v>58</v>
      </c>
      <c r="D4" s="6" t="s">
        <v>59</v>
      </c>
      <c r="E4" s="6" t="s">
        <v>60</v>
      </c>
      <c r="F4" s="6" t="s">
        <v>61</v>
      </c>
      <c r="G4" s="6" t="s">
        <v>6</v>
      </c>
      <c r="H4" s="6" t="s">
        <v>12</v>
      </c>
      <c r="I4" s="6" t="s">
        <v>16</v>
      </c>
      <c r="J4" s="6" t="s">
        <v>62</v>
      </c>
      <c r="K4" s="6" t="s">
        <v>63</v>
      </c>
      <c r="L4" s="6" t="s">
        <v>64</v>
      </c>
    </row>
    <row r="5" customFormat="false" ht="19.5" hidden="false" customHeight="true" outlineLevel="0" collapsed="false">
      <c r="A5" s="8" t="n">
        <v>1</v>
      </c>
      <c r="B5" s="9" t="s">
        <v>23</v>
      </c>
      <c r="C5" s="9" t="s">
        <v>65</v>
      </c>
      <c r="D5" s="11" t="n">
        <v>1357</v>
      </c>
      <c r="E5" s="11" t="n">
        <v>2280</v>
      </c>
      <c r="F5" s="11" t="n">
        <v>5</v>
      </c>
      <c r="G5" s="10" t="n">
        <f aca="false">INDEX(Results!$C$5:$C$17,MATCH($B5,Results!$B$5:$B$17,0))</f>
        <v>-1841434</v>
      </c>
      <c r="H5" s="11" t="n">
        <f aca="false">INDEX(Results!$I$5:$I$17,MATCH($B5,Results!$B$5:$B$17,0))</f>
        <v>-1827490</v>
      </c>
      <c r="I5" s="15" t="n">
        <f aca="false">(G5-H5)/G5</f>
        <v>0.00757235936775361</v>
      </c>
      <c r="J5" s="11" t="n">
        <v>117</v>
      </c>
      <c r="K5" s="11" t="n">
        <v>22</v>
      </c>
      <c r="L5" s="58" t="s">
        <v>66</v>
      </c>
    </row>
    <row r="6" customFormat="false" ht="19.5" hidden="false" customHeight="true" outlineLevel="0" collapsed="false">
      <c r="A6" s="19" t="n">
        <v>2</v>
      </c>
      <c r="B6" s="20" t="s">
        <v>24</v>
      </c>
      <c r="C6" s="20" t="s">
        <v>65</v>
      </c>
      <c r="D6" s="22" t="n">
        <v>1357</v>
      </c>
      <c r="E6" s="22" t="n">
        <v>2282</v>
      </c>
      <c r="F6" s="22" t="n">
        <v>5</v>
      </c>
      <c r="G6" s="21" t="n">
        <f aca="false">INDEX(Results!$C$5:$C$17,MATCH($B6,Results!$B$5:$B$17,0))</f>
        <v>-1841434</v>
      </c>
      <c r="H6" s="22" t="n">
        <f aca="false">INDEX(Results!$I$5:$I$17,MATCH($B6,Results!$B$5:$B$17,0))</f>
        <v>-1819934</v>
      </c>
      <c r="I6" s="25" t="n">
        <f aca="false">(G6-H6)/G6</f>
        <v>0.0116756831903831</v>
      </c>
      <c r="J6" s="22" t="n">
        <v>250</v>
      </c>
      <c r="K6" s="22" t="n">
        <v>18</v>
      </c>
      <c r="L6" s="59" t="s">
        <v>67</v>
      </c>
    </row>
    <row r="7" customFormat="false" ht="19.5" hidden="false" customHeight="true" outlineLevel="0" collapsed="false">
      <c r="A7" s="8" t="n">
        <v>3</v>
      </c>
      <c r="B7" s="9" t="s">
        <v>26</v>
      </c>
      <c r="C7" s="9" t="s">
        <v>65</v>
      </c>
      <c r="D7" s="11" t="n">
        <v>1357</v>
      </c>
      <c r="E7" s="11" t="n">
        <v>2282</v>
      </c>
      <c r="F7" s="11" t="n">
        <v>5</v>
      </c>
      <c r="G7" s="10" t="n">
        <f aca="false">INDEX(Results!$C$5:$C$17,MATCH($B7,Results!$B$5:$B$17,0))</f>
        <v>-1841434</v>
      </c>
      <c r="H7" s="11" t="n">
        <f aca="false">INDEX(Results!$I$5:$I$17,MATCH($B7,Results!$B$5:$B$17,0))</f>
        <v>-1820165</v>
      </c>
      <c r="I7" s="15" t="n">
        <f aca="false">(G7-H7)/G7</f>
        <v>0.0115502374779655</v>
      </c>
      <c r="J7" s="11" t="n">
        <v>297</v>
      </c>
      <c r="K7" s="11" t="n">
        <v>19</v>
      </c>
      <c r="L7" s="58" t="s">
        <v>68</v>
      </c>
    </row>
    <row r="8" customFormat="false" ht="19.5" hidden="false" customHeight="true" outlineLevel="0" collapsed="false">
      <c r="A8" s="19" t="n">
        <v>4</v>
      </c>
      <c r="B8" s="20" t="s">
        <v>27</v>
      </c>
      <c r="C8" s="20" t="s">
        <v>65</v>
      </c>
      <c r="D8" s="22" t="n">
        <v>1357</v>
      </c>
      <c r="E8" s="22" t="n">
        <v>2282</v>
      </c>
      <c r="F8" s="22" t="n">
        <v>5</v>
      </c>
      <c r="G8" s="21" t="n">
        <f aca="false">INDEX(Results!$C$5:$C$17,MATCH($B8,Results!$B$5:$B$17,0))</f>
        <v>-1841434</v>
      </c>
      <c r="H8" s="22" t="n">
        <f aca="false">INDEX(Results!$I$5:$I$17,MATCH($B8,Results!$B$5:$B$17,0))</f>
        <v>-1819944</v>
      </c>
      <c r="I8" s="25" t="n">
        <f aca="false">(G8-H8)/G8</f>
        <v>0.011670252640062</v>
      </c>
      <c r="J8" s="22" t="n">
        <v>295</v>
      </c>
      <c r="K8" s="22" t="n">
        <v>19</v>
      </c>
      <c r="L8" s="59" t="s">
        <v>69</v>
      </c>
    </row>
    <row r="9" customFormat="false" ht="19.5" hidden="false" customHeight="true" outlineLevel="0" collapsed="false">
      <c r="A9" s="8" t="n">
        <v>5</v>
      </c>
      <c r="B9" s="9" t="s">
        <v>29</v>
      </c>
      <c r="C9" s="9" t="s">
        <v>70</v>
      </c>
      <c r="D9" s="11" t="n">
        <v>1399</v>
      </c>
      <c r="E9" s="11" t="n">
        <v>13799</v>
      </c>
      <c r="F9" s="11" t="n">
        <v>63</v>
      </c>
      <c r="G9" s="10" t="n">
        <f aca="false">INDEX(Results!$C$5:$C$17,MATCH($B9,Results!$B$5:$B$17,0))</f>
        <v>-1955110</v>
      </c>
      <c r="H9" s="11" t="n">
        <f aca="false">INDEX(Results!$I$5:$I$17,MATCH($B9,Results!$B$5:$B$17,0))</f>
        <v>-1682428</v>
      </c>
      <c r="I9" s="15" t="n">
        <f aca="false">(G9-H9)/G9</f>
        <v>0.139471436389768</v>
      </c>
      <c r="J9" s="11" t="n">
        <v>0</v>
      </c>
      <c r="K9" s="11" t="n">
        <v>285</v>
      </c>
      <c r="L9" s="58" t="s">
        <v>66</v>
      </c>
    </row>
    <row r="10" customFormat="false" ht="19.5" hidden="false" customHeight="true" outlineLevel="0" collapsed="false">
      <c r="A10" s="19" t="n">
        <v>6</v>
      </c>
      <c r="B10" s="20" t="s">
        <v>30</v>
      </c>
      <c r="C10" s="20" t="s">
        <v>70</v>
      </c>
      <c r="D10" s="22" t="n">
        <v>1399</v>
      </c>
      <c r="E10" s="22" t="n">
        <v>13799</v>
      </c>
      <c r="F10" s="22" t="n">
        <v>72</v>
      </c>
      <c r="G10" s="21" t="n">
        <f aca="false">INDEX(Results!$C$5:$C$17,MATCH($B10,Results!$B$5:$B$17,0))</f>
        <v>-1954471</v>
      </c>
      <c r="H10" s="22" t="n">
        <f aca="false">INDEX(Results!$I$5:$I$17,MATCH($B10,Results!$B$5:$B$17,0))</f>
        <v>-1592317</v>
      </c>
      <c r="I10" s="25" t="n">
        <f aca="false">(G10-H10)/G10</f>
        <v>0.18529515147577</v>
      </c>
      <c r="J10" s="22" t="n">
        <v>0</v>
      </c>
      <c r="K10" s="22" t="n">
        <v>312</v>
      </c>
      <c r="L10" s="59" t="s">
        <v>71</v>
      </c>
    </row>
    <row r="11" customFormat="false" ht="19.5" hidden="false" customHeight="true" outlineLevel="0" collapsed="false">
      <c r="A11" s="8" t="n">
        <v>7</v>
      </c>
      <c r="B11" s="9" t="s">
        <v>31</v>
      </c>
      <c r="C11" s="9" t="s">
        <v>70</v>
      </c>
      <c r="D11" s="11" t="n">
        <v>1399</v>
      </c>
      <c r="E11" s="11" t="n">
        <v>13799</v>
      </c>
      <c r="F11" s="11" t="n">
        <v>73</v>
      </c>
      <c r="G11" s="10" t="n">
        <f aca="false">INDEX(Results!$C$5:$C$17,MATCH($B11,Results!$B$5:$B$17,0))</f>
        <v>-1954395</v>
      </c>
      <c r="H11" s="11" t="n">
        <f aca="false">INDEX(Results!$I$5:$I$17,MATCH($B11,Results!$B$5:$B$17,0))</f>
        <v>-1597450</v>
      </c>
      <c r="I11" s="15" t="n">
        <f aca="false">(G11-H11)/G11</f>
        <v>0.182637082063759</v>
      </c>
      <c r="J11" s="11" t="n">
        <v>0</v>
      </c>
      <c r="K11" s="11" t="n">
        <v>349</v>
      </c>
      <c r="L11" s="58" t="s">
        <v>72</v>
      </c>
    </row>
    <row r="12" customFormat="false" ht="19.5" hidden="false" customHeight="true" outlineLevel="0" collapsed="false">
      <c r="A12" s="19" t="n">
        <v>8</v>
      </c>
      <c r="B12" s="20" t="s">
        <v>33</v>
      </c>
      <c r="C12" s="20" t="s">
        <v>73</v>
      </c>
      <c r="D12" s="22" t="n">
        <v>2426</v>
      </c>
      <c r="E12" s="22" t="n">
        <v>253895</v>
      </c>
      <c r="F12" s="22" t="n">
        <v>499</v>
      </c>
      <c r="G12" s="21" t="n">
        <f aca="false">INDEX(Results!$C$5:$C$17,MATCH($B12,Results!$B$5:$B$17,0))</f>
        <v>-5754421</v>
      </c>
      <c r="H12" s="22" t="n">
        <f aca="false">INDEX(Results!$I$5:$I$17,MATCH($B12,Results!$B$5:$B$17,0))</f>
        <v>-5329389</v>
      </c>
      <c r="I12" s="25" t="n">
        <f aca="false">(G12-H12)/G12</f>
        <v>0.0738618185913057</v>
      </c>
      <c r="J12" s="22" t="n">
        <v>0</v>
      </c>
      <c r="K12" s="22" t="n">
        <v>500</v>
      </c>
      <c r="L12" s="59" t="s">
        <v>74</v>
      </c>
    </row>
    <row r="13" customFormat="false" ht="19.5" hidden="false" customHeight="true" outlineLevel="0" collapsed="false">
      <c r="A13" s="8" t="n">
        <v>9</v>
      </c>
      <c r="B13" s="9" t="s">
        <v>35</v>
      </c>
      <c r="C13" s="9" t="s">
        <v>73</v>
      </c>
      <c r="D13" s="11" t="n">
        <v>2426</v>
      </c>
      <c r="E13" s="11" t="n">
        <v>253895</v>
      </c>
      <c r="F13" s="11" t="n">
        <v>499</v>
      </c>
      <c r="G13" s="10" t="n">
        <f aca="false">INDEX(Results!$C$5:$C$17,MATCH($B13,Results!$B$5:$B$17,0))</f>
        <v>-5754421</v>
      </c>
      <c r="H13" s="11" t="n">
        <f aca="false">INDEX(Results!$I$5:$I$17,MATCH($B13,Results!$B$5:$B$17,0))</f>
        <v>-5167178</v>
      </c>
      <c r="I13" s="15" t="n">
        <f aca="false">(G13-H13)/G13</f>
        <v>0.102050753672698</v>
      </c>
      <c r="J13" s="11" t="n">
        <v>0</v>
      </c>
      <c r="K13" s="11" t="n">
        <v>500</v>
      </c>
      <c r="L13" s="58" t="s">
        <v>75</v>
      </c>
    </row>
    <row r="14" customFormat="false" ht="19.5" hidden="false" customHeight="true" outlineLevel="0" collapsed="false">
      <c r="A14" s="31" t="n">
        <v>10</v>
      </c>
      <c r="B14" s="32" t="s">
        <v>36</v>
      </c>
      <c r="C14" s="32" t="s">
        <v>73</v>
      </c>
      <c r="D14" s="35" t="n">
        <v>2426</v>
      </c>
      <c r="E14" s="35" t="n">
        <v>253895</v>
      </c>
      <c r="F14" s="35" t="n">
        <v>499</v>
      </c>
      <c r="G14" s="33" t="n">
        <f aca="false">INDEX(Results!$C$5:$C$17,MATCH($B14,Results!$B$5:$B$17,0))</f>
        <v>-5754421</v>
      </c>
      <c r="H14" s="35" t="n">
        <f aca="false">INDEX(Results!$I$5:$I$17,MATCH($B14,Results!$B$5:$B$17,0))</f>
        <v>-5203583</v>
      </c>
      <c r="I14" s="39" t="n">
        <f aca="false">(G14-H14)/G14</f>
        <v>0.0957243135321521</v>
      </c>
      <c r="J14" s="35" t="n">
        <v>0</v>
      </c>
      <c r="K14" s="35" t="n">
        <v>500</v>
      </c>
      <c r="L14" s="60" t="s">
        <v>76</v>
      </c>
    </row>
    <row r="16" customFormat="false" ht="15" hidden="false" customHeight="true" outlineLevel="0" collapsed="false">
      <c r="B16" s="61" t="s">
        <v>77</v>
      </c>
      <c r="C16" s="61"/>
      <c r="D16" s="61"/>
      <c r="E16" s="61"/>
      <c r="F16" s="61"/>
      <c r="G16" s="61"/>
      <c r="H16" s="61"/>
      <c r="I16" s="61"/>
      <c r="J16" s="61"/>
      <c r="K16" s="61"/>
      <c r="L16" s="61"/>
    </row>
    <row r="17" customFormat="false" ht="15" hidden="false" customHeight="true" outlineLevel="0" collapsed="false">
      <c r="B17" s="61"/>
      <c r="C17" s="61"/>
      <c r="D17" s="61"/>
      <c r="E17" s="61"/>
      <c r="F17" s="61"/>
      <c r="G17" s="61"/>
      <c r="H17" s="61"/>
      <c r="I17" s="61"/>
      <c r="J17" s="61"/>
      <c r="K17" s="61"/>
      <c r="L17" s="61"/>
    </row>
    <row r="18" customFormat="false" ht="15" hidden="false" customHeight="true" outlineLevel="0" collapsed="false">
      <c r="B18" s="61"/>
      <c r="C18" s="61"/>
      <c r="D18" s="61"/>
      <c r="E18" s="61"/>
      <c r="F18" s="61"/>
      <c r="G18" s="61"/>
      <c r="H18" s="61"/>
      <c r="I18" s="61"/>
      <c r="J18" s="61"/>
      <c r="K18" s="61"/>
      <c r="L18" s="61"/>
    </row>
    <row r="19" customFormat="false" ht="15" hidden="false" customHeight="true" outlineLevel="0" collapsed="false">
      <c r="B19" s="61"/>
      <c r="C19" s="61"/>
      <c r="D19" s="61"/>
      <c r="E19" s="61"/>
      <c r="F19" s="61"/>
      <c r="G19" s="61"/>
      <c r="H19" s="61"/>
      <c r="I19" s="61"/>
      <c r="J19" s="61"/>
      <c r="K19" s="61"/>
      <c r="L19" s="61"/>
    </row>
    <row r="20" customFormat="false" ht="15" hidden="false" customHeight="true" outlineLevel="0" collapsed="false">
      <c r="B20" s="61"/>
      <c r="C20" s="61"/>
      <c r="D20" s="61"/>
      <c r="E20" s="61"/>
      <c r="F20" s="61"/>
      <c r="G20" s="61"/>
      <c r="H20" s="61"/>
      <c r="I20" s="61"/>
      <c r="J20" s="61"/>
      <c r="K20" s="61"/>
      <c r="L20" s="61"/>
    </row>
    <row r="22" customFormat="false" ht="15" hidden="false" customHeight="true" outlineLevel="0" collapsed="false">
      <c r="B22" s="61" t="s">
        <v>78</v>
      </c>
      <c r="C22" s="61"/>
      <c r="D22" s="61"/>
      <c r="E22" s="61"/>
      <c r="F22" s="61"/>
      <c r="G22" s="61"/>
      <c r="H22" s="61"/>
      <c r="I22" s="61"/>
      <c r="J22" s="61"/>
      <c r="K22" s="61"/>
      <c r="L22" s="61"/>
    </row>
    <row r="23" customFormat="false" ht="15" hidden="false" customHeight="true" outlineLevel="0" collapsed="false">
      <c r="B23" s="61"/>
      <c r="C23" s="61"/>
      <c r="D23" s="61"/>
      <c r="E23" s="61"/>
      <c r="F23" s="61"/>
      <c r="G23" s="61"/>
      <c r="H23" s="61"/>
      <c r="I23" s="61"/>
      <c r="J23" s="61"/>
      <c r="K23" s="61"/>
      <c r="L23" s="61"/>
    </row>
    <row r="24" customFormat="false" ht="15" hidden="false" customHeight="true" outlineLevel="0" collapsed="false">
      <c r="B24" s="61"/>
      <c r="C24" s="61"/>
      <c r="D24" s="61"/>
      <c r="E24" s="61"/>
      <c r="F24" s="61"/>
      <c r="G24" s="61"/>
      <c r="H24" s="61"/>
      <c r="I24" s="61"/>
      <c r="J24" s="61"/>
      <c r="K24" s="61"/>
      <c r="L24" s="61"/>
    </row>
    <row r="25" customFormat="false" ht="15" hidden="false" customHeight="true" outlineLevel="0" collapsed="false">
      <c r="B25" s="61"/>
      <c r="C25" s="61"/>
      <c r="D25" s="61"/>
      <c r="E25" s="61"/>
      <c r="F25" s="61"/>
      <c r="G25" s="61"/>
      <c r="H25" s="61"/>
      <c r="I25" s="61"/>
      <c r="J25" s="61"/>
      <c r="K25" s="61"/>
      <c r="L25" s="61"/>
    </row>
  </sheetData>
  <mergeCells count="4">
    <mergeCell ref="A1:L1"/>
    <mergeCell ref="A2:L2"/>
    <mergeCell ref="B16:L20"/>
    <mergeCell ref="B22:L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5.52"/>
    <col collapsed="false" customWidth="true" hidden="false" outlineLevel="0" max="2" min="2" style="1" width="19"/>
    <col collapsed="false" customWidth="true" hidden="false" outlineLevel="0" max="3" min="3" style="1" width="11"/>
    <col collapsed="false" customWidth="true" hidden="false" outlineLevel="0" max="4" min="4" style="1" width="17.5"/>
    <col collapsed="false" customWidth="true" hidden="false" outlineLevel="0" max="6" min="5" style="1" width="14"/>
    <col collapsed="false" customWidth="true" hidden="false" outlineLevel="0" max="7" min="7" style="1" width="11"/>
    <col collapsed="false" customWidth="true" hidden="false" outlineLevel="0" max="9" min="8" style="1" width="7.5"/>
    <col collapsed="false" customWidth="true" hidden="false" outlineLevel="0" max="10" min="10" style="1" width="8.5"/>
    <col collapsed="false" customWidth="true" hidden="false" outlineLevel="0" max="11" min="11" style="1" width="11"/>
    <col collapsed="false" customWidth="true" hidden="false" outlineLevel="0" max="12" min="12" style="1" width="13"/>
    <col collapsed="false" customWidth="true" hidden="false" outlineLevel="0" max="13" min="13" style="1" width="16"/>
    <col collapsed="false" customWidth="true" hidden="false" outlineLevel="0" max="14" min="14" style="1" width="52"/>
  </cols>
  <sheetData>
    <row r="1" customFormat="false" ht="24" hidden="false" customHeight="true" outlineLevel="0" collapsed="false">
      <c r="A1" s="57" t="s">
        <v>79</v>
      </c>
      <c r="B1" s="57"/>
      <c r="C1" s="57"/>
      <c r="D1" s="57"/>
      <c r="E1" s="57"/>
      <c r="F1" s="57"/>
      <c r="G1" s="57"/>
      <c r="H1" s="57"/>
      <c r="I1" s="57"/>
      <c r="J1" s="57"/>
      <c r="K1" s="57"/>
      <c r="L1" s="57"/>
      <c r="M1" s="57"/>
      <c r="N1" s="57"/>
    </row>
    <row r="2" customFormat="false" ht="19.5" hidden="false" customHeight="true" outlineLevel="0" collapsed="false">
      <c r="A2" s="5" t="s">
        <v>80</v>
      </c>
      <c r="B2" s="5"/>
      <c r="C2" s="5"/>
      <c r="D2" s="5"/>
      <c r="E2" s="5"/>
      <c r="F2" s="5"/>
      <c r="G2" s="5"/>
      <c r="H2" s="5"/>
      <c r="I2" s="5"/>
      <c r="J2" s="5"/>
      <c r="K2" s="5"/>
      <c r="L2" s="5"/>
      <c r="M2" s="5"/>
      <c r="N2" s="5"/>
    </row>
    <row r="3" customFormat="false" ht="6.75" hidden="false" customHeight="true" outlineLevel="0" collapsed="false"/>
    <row r="4" customFormat="false" ht="15.75" hidden="false" customHeight="true" outlineLevel="0" collapsed="false">
      <c r="B4" s="62" t="s">
        <v>81</v>
      </c>
      <c r="C4" s="62"/>
      <c r="D4" s="44" t="n">
        <v>-26412158</v>
      </c>
      <c r="E4" s="63" t="s">
        <v>82</v>
      </c>
      <c r="F4" s="63"/>
      <c r="G4" s="63"/>
      <c r="H4" s="63"/>
      <c r="I4" s="63"/>
      <c r="J4" s="63"/>
      <c r="K4" s="63"/>
      <c r="L4" s="63"/>
      <c r="M4" s="63"/>
      <c r="N4" s="63"/>
    </row>
    <row r="5" customFormat="false" ht="15.75" hidden="false" customHeight="true" outlineLevel="0" collapsed="false">
      <c r="B5" s="62" t="s">
        <v>83</v>
      </c>
      <c r="C5" s="62"/>
      <c r="D5" s="44" t="n">
        <v>-26390639</v>
      </c>
      <c r="E5" s="63" t="s">
        <v>84</v>
      </c>
      <c r="F5" s="63"/>
      <c r="G5" s="63"/>
      <c r="H5" s="63"/>
      <c r="I5" s="63"/>
      <c r="J5" s="63"/>
      <c r="K5" s="63"/>
      <c r="L5" s="63"/>
      <c r="M5" s="63"/>
      <c r="N5" s="63"/>
    </row>
    <row r="6" customFormat="false" ht="15.75" hidden="false" customHeight="true" outlineLevel="0" collapsed="false">
      <c r="B6" s="62" t="s">
        <v>85</v>
      </c>
      <c r="C6" s="62"/>
      <c r="D6" s="64" t="n">
        <f aca="false">ABS(D4-D5)</f>
        <v>21519</v>
      </c>
      <c r="E6" s="63" t="s">
        <v>86</v>
      </c>
      <c r="F6" s="63"/>
      <c r="G6" s="63"/>
      <c r="H6" s="63"/>
      <c r="I6" s="63"/>
      <c r="J6" s="63"/>
      <c r="K6" s="63"/>
      <c r="L6" s="63"/>
      <c r="M6" s="63"/>
      <c r="N6" s="63"/>
    </row>
    <row r="7" customFormat="false" ht="9" hidden="false" customHeight="true" outlineLevel="0" collapsed="false"/>
    <row r="8" customFormat="false" ht="30" hidden="false" customHeight="true" outlineLevel="0" collapsed="false">
      <c r="A8" s="65" t="s">
        <v>4</v>
      </c>
      <c r="B8" s="65" t="s">
        <v>87</v>
      </c>
      <c r="C8" s="65" t="s">
        <v>58</v>
      </c>
      <c r="D8" s="65" t="s">
        <v>88</v>
      </c>
      <c r="E8" s="65" t="s">
        <v>89</v>
      </c>
      <c r="F8" s="65" t="s">
        <v>90</v>
      </c>
      <c r="G8" s="65" t="s">
        <v>91</v>
      </c>
      <c r="H8" s="65" t="s">
        <v>92</v>
      </c>
      <c r="I8" s="65" t="s">
        <v>93</v>
      </c>
      <c r="J8" s="65" t="s">
        <v>94</v>
      </c>
      <c r="K8" s="65" t="s">
        <v>95</v>
      </c>
      <c r="L8" s="65" t="s">
        <v>96</v>
      </c>
      <c r="M8" s="65" t="s">
        <v>97</v>
      </c>
      <c r="N8" s="65" t="s">
        <v>98</v>
      </c>
    </row>
    <row r="9" customFormat="false" ht="18.75" hidden="false" customHeight="true" outlineLevel="0" collapsed="false">
      <c r="A9" s="66" t="n">
        <v>1</v>
      </c>
      <c r="B9" s="67" t="s">
        <v>99</v>
      </c>
      <c r="C9" s="68" t="s">
        <v>100</v>
      </c>
      <c r="D9" s="69" t="n">
        <v>-26402010</v>
      </c>
      <c r="E9" s="70" t="n">
        <f aca="false">$D$5-D9</f>
        <v>11371</v>
      </c>
      <c r="F9" s="70" t="n">
        <f aca="false">$D$4-D9</f>
        <v>-10148</v>
      </c>
      <c r="G9" s="71" t="str">
        <f aca="false">IF(SIGN(E9)&lt;&gt;SIGN(F9),"yes","no")</f>
        <v>yes</v>
      </c>
      <c r="H9" s="71" t="n">
        <v>2</v>
      </c>
      <c r="I9" s="71" t="n">
        <v>8</v>
      </c>
      <c r="J9" s="71" t="n">
        <v>0</v>
      </c>
      <c r="K9" s="69" t="n">
        <v>53</v>
      </c>
      <c r="L9" s="72" t="n">
        <f aca="false">ABS(E9)/ABS($D$6)</f>
        <v>0.528416747990148</v>
      </c>
      <c r="M9" s="71" t="str">
        <f aca="false">IF(L9&gt;=1,"established","not established")</f>
        <v>not established</v>
      </c>
      <c r="N9" s="73" t="s">
        <v>101</v>
      </c>
    </row>
    <row r="10" customFormat="false" ht="18.75" hidden="false" customHeight="true" outlineLevel="0" collapsed="false">
      <c r="A10" s="74" t="n">
        <v>2</v>
      </c>
      <c r="B10" s="75" t="s">
        <v>102</v>
      </c>
      <c r="C10" s="76" t="s">
        <v>103</v>
      </c>
      <c r="D10" s="77" t="n">
        <v>-26394502</v>
      </c>
      <c r="E10" s="78" t="n">
        <f aca="false">$D$5-D10</f>
        <v>3863</v>
      </c>
      <c r="F10" s="78" t="n">
        <f aca="false">$D$4-D10</f>
        <v>-17656</v>
      </c>
      <c r="G10" s="79" t="str">
        <f aca="false">IF(SIGN(E10)&lt;&gt;SIGN(F10),"yes","no")</f>
        <v>yes</v>
      </c>
      <c r="H10" s="79" t="n">
        <v>0</v>
      </c>
      <c r="I10" s="79" t="n">
        <v>10</v>
      </c>
      <c r="J10" s="79" t="n">
        <v>0</v>
      </c>
      <c r="K10" s="77" t="n">
        <v>137</v>
      </c>
      <c r="L10" s="80" t="n">
        <f aca="false">ABS(E10)/ABS($D$6)</f>
        <v>0.179515776755425</v>
      </c>
      <c r="M10" s="79" t="str">
        <f aca="false">IF(L10&gt;=1,"established","not established")</f>
        <v>not established</v>
      </c>
      <c r="N10" s="81"/>
    </row>
    <row r="11" customFormat="false" ht="18.75" hidden="false" customHeight="true" outlineLevel="0" collapsed="false">
      <c r="A11" s="66" t="n">
        <v>3</v>
      </c>
      <c r="B11" s="67" t="s">
        <v>104</v>
      </c>
      <c r="C11" s="68" t="s">
        <v>105</v>
      </c>
      <c r="D11" s="69" t="n">
        <v>-26394235</v>
      </c>
      <c r="E11" s="70" t="n">
        <f aca="false">$D$5-D11</f>
        <v>3596</v>
      </c>
      <c r="F11" s="70" t="n">
        <f aca="false">$D$4-D11</f>
        <v>-17923</v>
      </c>
      <c r="G11" s="71" t="str">
        <f aca="false">IF(SIGN(E11)&lt;&gt;SIGN(F11),"yes","no")</f>
        <v>yes</v>
      </c>
      <c r="H11" s="71" t="n">
        <v>0</v>
      </c>
      <c r="I11" s="71" t="n">
        <v>10</v>
      </c>
      <c r="J11" s="71" t="n">
        <v>0</v>
      </c>
      <c r="K11" s="69" t="n">
        <v>118</v>
      </c>
      <c r="L11" s="72" t="n">
        <f aca="false">ABS(E11)/ABS($D$6)</f>
        <v>0.167108136995214</v>
      </c>
      <c r="M11" s="71" t="str">
        <f aca="false">IF(L11&gt;=1,"established","not established")</f>
        <v>not established</v>
      </c>
      <c r="N11" s="73"/>
    </row>
    <row r="12" customFormat="false" ht="18.75" hidden="false" customHeight="true" outlineLevel="0" collapsed="false">
      <c r="A12" s="74" t="n">
        <v>4</v>
      </c>
      <c r="B12" s="75" t="s">
        <v>106</v>
      </c>
      <c r="C12" s="76" t="s">
        <v>103</v>
      </c>
      <c r="D12" s="77" t="n">
        <v>-26393679</v>
      </c>
      <c r="E12" s="78" t="n">
        <f aca="false">$D$5-D12</f>
        <v>3040</v>
      </c>
      <c r="F12" s="78" t="n">
        <f aca="false">$D$4-D12</f>
        <v>-18479</v>
      </c>
      <c r="G12" s="79" t="str">
        <f aca="false">IF(SIGN(E12)&lt;&gt;SIGN(F12),"yes","no")</f>
        <v>yes</v>
      </c>
      <c r="H12" s="79" t="n">
        <v>0</v>
      </c>
      <c r="I12" s="79" t="n">
        <v>10</v>
      </c>
      <c r="J12" s="79" t="n">
        <v>0</v>
      </c>
      <c r="K12" s="77" t="n">
        <v>185</v>
      </c>
      <c r="L12" s="80" t="n">
        <f aca="false">ABS(E12)/ABS($D$6)</f>
        <v>0.141270505134997</v>
      </c>
      <c r="M12" s="79" t="str">
        <f aca="false">IF(L12&gt;=1,"established","not established")</f>
        <v>not established</v>
      </c>
      <c r="N12" s="81"/>
    </row>
    <row r="13" customFormat="false" ht="18.75" hidden="false" customHeight="true" outlineLevel="0" collapsed="false">
      <c r="A13" s="66" t="n">
        <v>5</v>
      </c>
      <c r="B13" s="67" t="s">
        <v>107</v>
      </c>
      <c r="C13" s="68" t="s">
        <v>100</v>
      </c>
      <c r="D13" s="69" t="n">
        <v>-26389902</v>
      </c>
      <c r="E13" s="70" t="n">
        <f aca="false">$D$5-D13</f>
        <v>-737</v>
      </c>
      <c r="F13" s="70" t="n">
        <f aca="false">$D$4-D13</f>
        <v>-22256</v>
      </c>
      <c r="G13" s="71" t="str">
        <f aca="false">IF(SIGN(E13)&lt;&gt;SIGN(F13),"yes","no")</f>
        <v>no</v>
      </c>
      <c r="H13" s="71" t="n">
        <v>0</v>
      </c>
      <c r="I13" s="71" t="n">
        <v>10</v>
      </c>
      <c r="J13" s="71" t="n">
        <v>0</v>
      </c>
      <c r="K13" s="69" t="n">
        <v>32</v>
      </c>
      <c r="L13" s="72" t="n">
        <f aca="false">ABS(E13)/ABS($D$6)</f>
        <v>0.0342488033830568</v>
      </c>
      <c r="M13" s="71" t="str">
        <f aca="false">IF(L13&gt;=1,"established","not established")</f>
        <v>not established</v>
      </c>
      <c r="N13" s="73"/>
    </row>
    <row r="14" customFormat="false" ht="18.75" hidden="false" customHeight="true" outlineLevel="0" collapsed="false">
      <c r="A14" s="74" t="n">
        <v>6</v>
      </c>
      <c r="B14" s="75" t="s">
        <v>108</v>
      </c>
      <c r="C14" s="76" t="s">
        <v>109</v>
      </c>
      <c r="D14" s="77" t="n">
        <v>-26389901</v>
      </c>
      <c r="E14" s="78" t="n">
        <f aca="false">$D$5-D14</f>
        <v>-738</v>
      </c>
      <c r="F14" s="78" t="n">
        <f aca="false">$D$4-D14</f>
        <v>-22257</v>
      </c>
      <c r="G14" s="79" t="str">
        <f aca="false">IF(SIGN(E14)&lt;&gt;SIGN(F14),"yes","no")</f>
        <v>no</v>
      </c>
      <c r="H14" s="79" t="n">
        <v>0</v>
      </c>
      <c r="I14" s="79" t="n">
        <v>10</v>
      </c>
      <c r="J14" s="79" t="n">
        <v>0</v>
      </c>
      <c r="K14" s="77" t="n">
        <v>537</v>
      </c>
      <c r="L14" s="80" t="n">
        <f aca="false">ABS(E14)/ABS($D$6)</f>
        <v>0.0342952739439565</v>
      </c>
      <c r="M14" s="79" t="str">
        <f aca="false">IF(L14&gt;=1,"established","not established")</f>
        <v>not established</v>
      </c>
      <c r="N14" s="81" t="s">
        <v>110</v>
      </c>
    </row>
    <row r="15" customFormat="false" ht="18.75" hidden="false" customHeight="true" outlineLevel="0" collapsed="false">
      <c r="A15" s="66" t="n">
        <v>7</v>
      </c>
      <c r="B15" s="67" t="s">
        <v>111</v>
      </c>
      <c r="C15" s="68" t="s">
        <v>112</v>
      </c>
      <c r="D15" s="69" t="n">
        <v>-26389816</v>
      </c>
      <c r="E15" s="70" t="n">
        <f aca="false">$D$5-D15</f>
        <v>-823</v>
      </c>
      <c r="F15" s="70" t="n">
        <f aca="false">$D$4-D15</f>
        <v>-22342</v>
      </c>
      <c r="G15" s="71" t="str">
        <f aca="false">IF(SIGN(E15)&lt;&gt;SIGN(F15),"yes","no")</f>
        <v>no</v>
      </c>
      <c r="H15" s="71" t="n">
        <v>0</v>
      </c>
      <c r="I15" s="71" t="n">
        <v>10</v>
      </c>
      <c r="J15" s="71" t="n">
        <v>0</v>
      </c>
      <c r="K15" s="69" t="n">
        <v>9</v>
      </c>
      <c r="L15" s="72" t="n">
        <f aca="false">ABS(E15)/ABS($D$6)</f>
        <v>0.0382452716204285</v>
      </c>
      <c r="M15" s="71" t="str">
        <f aca="false">IF(L15&gt;=1,"established","not established")</f>
        <v>not established</v>
      </c>
      <c r="N15" s="73"/>
    </row>
    <row r="16" customFormat="false" ht="18.75" hidden="false" customHeight="true" outlineLevel="0" collapsed="false">
      <c r="A16" s="74" t="n">
        <v>8</v>
      </c>
      <c r="B16" s="75" t="s">
        <v>113</v>
      </c>
      <c r="C16" s="76" t="s">
        <v>103</v>
      </c>
      <c r="D16" s="77" t="n">
        <v>-26389244</v>
      </c>
      <c r="E16" s="78" t="n">
        <f aca="false">$D$5-D16</f>
        <v>-1395</v>
      </c>
      <c r="F16" s="78" t="n">
        <f aca="false">$D$4-D16</f>
        <v>-22914</v>
      </c>
      <c r="G16" s="79" t="str">
        <f aca="false">IF(SIGN(E16)&lt;&gt;SIGN(F16),"yes","no")</f>
        <v>no</v>
      </c>
      <c r="H16" s="79" t="n">
        <v>0</v>
      </c>
      <c r="I16" s="79" t="n">
        <v>10</v>
      </c>
      <c r="J16" s="79" t="n">
        <v>0</v>
      </c>
      <c r="K16" s="77" t="n">
        <v>161</v>
      </c>
      <c r="L16" s="80" t="n">
        <f aca="false">ABS(E16)/ABS($D$6)</f>
        <v>0.0648264324550397</v>
      </c>
      <c r="M16" s="79" t="str">
        <f aca="false">IF(L16&gt;=1,"established","not established")</f>
        <v>not established</v>
      </c>
      <c r="N16" s="81"/>
    </row>
    <row r="17" customFormat="false" ht="18.75" hidden="false" customHeight="true" outlineLevel="0" collapsed="false">
      <c r="A17" s="66" t="n">
        <v>9</v>
      </c>
      <c r="B17" s="67" t="s">
        <v>114</v>
      </c>
      <c r="C17" s="68" t="s">
        <v>100</v>
      </c>
      <c r="D17" s="69" t="n">
        <v>-26389039</v>
      </c>
      <c r="E17" s="70" t="n">
        <f aca="false">$D$5-D17</f>
        <v>-1600</v>
      </c>
      <c r="F17" s="70" t="n">
        <f aca="false">$D$4-D17</f>
        <v>-23119</v>
      </c>
      <c r="G17" s="71" t="str">
        <f aca="false">IF(SIGN(E17)&lt;&gt;SIGN(F17),"yes","no")</f>
        <v>no</v>
      </c>
      <c r="H17" s="71" t="n">
        <v>0</v>
      </c>
      <c r="I17" s="71" t="n">
        <v>10</v>
      </c>
      <c r="J17" s="71" t="n">
        <v>0</v>
      </c>
      <c r="K17" s="69" t="n">
        <v>69</v>
      </c>
      <c r="L17" s="72" t="n">
        <f aca="false">ABS(E17)/ABS($D$6)</f>
        <v>0.0743528974394721</v>
      </c>
      <c r="M17" s="71" t="str">
        <f aca="false">IF(L17&gt;=1,"established","not established")</f>
        <v>not established</v>
      </c>
      <c r="N17" s="73"/>
    </row>
    <row r="18" customFormat="false" ht="18.75" hidden="false" customHeight="true" outlineLevel="0" collapsed="false">
      <c r="A18" s="74" t="n">
        <v>10</v>
      </c>
      <c r="B18" s="75" t="s">
        <v>115</v>
      </c>
      <c r="C18" s="76" t="s">
        <v>116</v>
      </c>
      <c r="D18" s="77" t="n">
        <v>-26387771</v>
      </c>
      <c r="E18" s="78" t="n">
        <f aca="false">$D$5-D18</f>
        <v>-2868</v>
      </c>
      <c r="F18" s="78" t="n">
        <f aca="false">$D$4-D18</f>
        <v>-24387</v>
      </c>
      <c r="G18" s="79" t="str">
        <f aca="false">IF(SIGN(E18)&lt;&gt;SIGN(F18),"yes","no")</f>
        <v>no</v>
      </c>
      <c r="H18" s="79" t="n">
        <v>0</v>
      </c>
      <c r="I18" s="79" t="n">
        <v>10</v>
      </c>
      <c r="J18" s="79" t="n">
        <v>0</v>
      </c>
      <c r="K18" s="77" t="n">
        <v>44</v>
      </c>
      <c r="L18" s="80" t="n">
        <f aca="false">ABS(E18)/ABS($D$6)</f>
        <v>0.133277568660254</v>
      </c>
      <c r="M18" s="79" t="str">
        <f aca="false">IF(L18&gt;=1,"established","not established")</f>
        <v>not established</v>
      </c>
      <c r="N18" s="81"/>
    </row>
    <row r="19" customFormat="false" ht="18.75" hidden="false" customHeight="true" outlineLevel="0" collapsed="false">
      <c r="A19" s="66" t="n">
        <v>11</v>
      </c>
      <c r="B19" s="67" t="s">
        <v>117</v>
      </c>
      <c r="C19" s="68" t="s">
        <v>112</v>
      </c>
      <c r="D19" s="69" t="n">
        <v>-26385322</v>
      </c>
      <c r="E19" s="70" t="n">
        <f aca="false">$D$5-D19</f>
        <v>-5317</v>
      </c>
      <c r="F19" s="70" t="n">
        <f aca="false">$D$4-D19</f>
        <v>-26836</v>
      </c>
      <c r="G19" s="71" t="str">
        <f aca="false">IF(SIGN(E19)&lt;&gt;SIGN(F19),"yes","no")</f>
        <v>no</v>
      </c>
      <c r="H19" s="71" t="n">
        <v>0</v>
      </c>
      <c r="I19" s="71" t="n">
        <v>10</v>
      </c>
      <c r="J19" s="71" t="n">
        <v>0</v>
      </c>
      <c r="K19" s="69" t="n">
        <v>75</v>
      </c>
      <c r="L19" s="72" t="n">
        <f aca="false">ABS(E19)/ABS($D$6)</f>
        <v>0.247083972303546</v>
      </c>
      <c r="M19" s="71" t="str">
        <f aca="false">IF(L19&gt;=1,"established","not established")</f>
        <v>not established</v>
      </c>
      <c r="N19" s="73"/>
    </row>
    <row r="20" customFormat="false" ht="18.75" hidden="false" customHeight="true" outlineLevel="0" collapsed="false">
      <c r="A20" s="74" t="n">
        <v>12</v>
      </c>
      <c r="B20" s="75" t="s">
        <v>118</v>
      </c>
      <c r="C20" s="76" t="s">
        <v>100</v>
      </c>
      <c r="D20" s="77" t="n">
        <v>-26384122</v>
      </c>
      <c r="E20" s="78" t="n">
        <f aca="false">$D$5-D20</f>
        <v>-6517</v>
      </c>
      <c r="F20" s="78" t="n">
        <f aca="false">$D$4-D20</f>
        <v>-28036</v>
      </c>
      <c r="G20" s="79" t="str">
        <f aca="false">IF(SIGN(E20)&lt;&gt;SIGN(F20),"yes","no")</f>
        <v>no</v>
      </c>
      <c r="H20" s="79" t="n">
        <v>0</v>
      </c>
      <c r="I20" s="79" t="n">
        <v>10</v>
      </c>
      <c r="J20" s="79" t="n">
        <v>0</v>
      </c>
      <c r="K20" s="77" t="n">
        <v>9</v>
      </c>
      <c r="L20" s="80" t="n">
        <f aca="false">ABS(E20)/ABS($D$6)</f>
        <v>0.30284864538315</v>
      </c>
      <c r="M20" s="79" t="str">
        <f aca="false">IF(L20&gt;=1,"established","not established")</f>
        <v>not established</v>
      </c>
      <c r="N20" s="81"/>
    </row>
    <row r="21" customFormat="false" ht="18.75" hidden="false" customHeight="true" outlineLevel="0" collapsed="false">
      <c r="A21" s="66" t="n">
        <v>13</v>
      </c>
      <c r="B21" s="67" t="s">
        <v>119</v>
      </c>
      <c r="C21" s="68" t="s">
        <v>100</v>
      </c>
      <c r="D21" s="69" t="n">
        <v>-26378836</v>
      </c>
      <c r="E21" s="70" t="n">
        <f aca="false">$D$5-D21</f>
        <v>-11803</v>
      </c>
      <c r="F21" s="70" t="n">
        <f aca="false">$D$4-D21</f>
        <v>-33322</v>
      </c>
      <c r="G21" s="71" t="str">
        <f aca="false">IF(SIGN(E21)&lt;&gt;SIGN(F21),"yes","no")</f>
        <v>no</v>
      </c>
      <c r="H21" s="71" t="n">
        <v>0</v>
      </c>
      <c r="I21" s="71" t="n">
        <v>10</v>
      </c>
      <c r="J21" s="71" t="n">
        <v>0</v>
      </c>
      <c r="K21" s="69" t="n">
        <v>10</v>
      </c>
      <c r="L21" s="72" t="n">
        <f aca="false">ABS(E21)/ABS($D$6)</f>
        <v>0.548492030298806</v>
      </c>
      <c r="M21" s="71" t="str">
        <f aca="false">IF(L21&gt;=1,"established","not established")</f>
        <v>not established</v>
      </c>
      <c r="N21" s="73"/>
    </row>
    <row r="22" customFormat="false" ht="18.75" hidden="false" customHeight="true" outlineLevel="0" collapsed="false">
      <c r="A22" s="82" t="n">
        <v>14</v>
      </c>
      <c r="B22" s="83" t="s">
        <v>120</v>
      </c>
      <c r="C22" s="84" t="s">
        <v>105</v>
      </c>
      <c r="D22" s="85" t="n">
        <v>-26376380</v>
      </c>
      <c r="E22" s="86" t="n">
        <f aca="false">$D$5-D22</f>
        <v>-14259</v>
      </c>
      <c r="F22" s="86" t="n">
        <f aca="false">$D$4-D22</f>
        <v>-35778</v>
      </c>
      <c r="G22" s="87" t="str">
        <f aca="false">IF(SIGN(E22)&lt;&gt;SIGN(F22),"yes","no")</f>
        <v>no</v>
      </c>
      <c r="H22" s="87" t="n">
        <v>0</v>
      </c>
      <c r="I22" s="87" t="n">
        <v>10</v>
      </c>
      <c r="J22" s="87" t="n">
        <v>0</v>
      </c>
      <c r="K22" s="85" t="n">
        <v>0</v>
      </c>
      <c r="L22" s="88" t="n">
        <f aca="false">ABS(E22)/ABS($D$6)</f>
        <v>0.662623727868395</v>
      </c>
      <c r="M22" s="87" t="str">
        <f aca="false">IF(L22&gt;=1,"established","not established")</f>
        <v>not established</v>
      </c>
      <c r="N22" s="89" t="s">
        <v>121</v>
      </c>
    </row>
    <row r="24" customFormat="false" ht="15" hidden="false" customHeight="true" outlineLevel="0" collapsed="false">
      <c r="B24" s="61" t="s">
        <v>122</v>
      </c>
      <c r="C24" s="61"/>
      <c r="D24" s="61"/>
      <c r="E24" s="61"/>
      <c r="F24" s="61"/>
      <c r="G24" s="61"/>
      <c r="H24" s="61"/>
      <c r="I24" s="61"/>
      <c r="J24" s="61"/>
      <c r="K24" s="61"/>
      <c r="L24" s="61"/>
      <c r="M24" s="61"/>
      <c r="N24" s="61"/>
    </row>
    <row r="25" customFormat="false" ht="15" hidden="false" customHeight="true" outlineLevel="0" collapsed="false">
      <c r="B25" s="61"/>
      <c r="C25" s="61"/>
      <c r="D25" s="61"/>
      <c r="E25" s="61"/>
      <c r="F25" s="61"/>
      <c r="G25" s="61"/>
      <c r="H25" s="61"/>
      <c r="I25" s="61"/>
      <c r="J25" s="61"/>
      <c r="K25" s="61"/>
      <c r="L25" s="61"/>
      <c r="M25" s="61"/>
      <c r="N25" s="61"/>
    </row>
    <row r="26" customFormat="false" ht="15" hidden="false" customHeight="true" outlineLevel="0" collapsed="false">
      <c r="B26" s="61"/>
      <c r="C26" s="61"/>
      <c r="D26" s="61"/>
      <c r="E26" s="61"/>
      <c r="F26" s="61"/>
      <c r="G26" s="61"/>
      <c r="H26" s="61"/>
      <c r="I26" s="61"/>
      <c r="J26" s="61"/>
      <c r="K26" s="61"/>
      <c r="L26" s="61"/>
      <c r="M26" s="61"/>
      <c r="N26" s="61"/>
    </row>
    <row r="27" customFormat="false" ht="15" hidden="false" customHeight="true" outlineLevel="0" collapsed="false">
      <c r="B27" s="61"/>
      <c r="C27" s="61"/>
      <c r="D27" s="61"/>
      <c r="E27" s="61"/>
      <c r="F27" s="61"/>
      <c r="G27" s="61"/>
      <c r="H27" s="61"/>
      <c r="I27" s="61"/>
      <c r="J27" s="61"/>
      <c r="K27" s="61"/>
      <c r="L27" s="61"/>
      <c r="M27" s="61"/>
      <c r="N27" s="61"/>
    </row>
    <row r="29" customFormat="false" ht="15" hidden="false" customHeight="true" outlineLevel="0" collapsed="false">
      <c r="B29" s="52" t="s">
        <v>123</v>
      </c>
      <c r="C29" s="52"/>
      <c r="D29" s="52"/>
      <c r="E29" s="52"/>
      <c r="F29" s="52"/>
      <c r="G29" s="52"/>
      <c r="H29" s="52"/>
      <c r="I29" s="52"/>
      <c r="J29" s="52"/>
      <c r="K29" s="52"/>
      <c r="L29" s="52"/>
      <c r="M29" s="52"/>
      <c r="N29" s="52"/>
    </row>
    <row r="30" customFormat="false" ht="15" hidden="false" customHeight="true" outlineLevel="0" collapsed="false">
      <c r="B30" s="52"/>
      <c r="C30" s="52"/>
      <c r="D30" s="52"/>
      <c r="E30" s="52"/>
      <c r="F30" s="52"/>
      <c r="G30" s="52"/>
      <c r="H30" s="52"/>
      <c r="I30" s="52"/>
      <c r="J30" s="52"/>
      <c r="K30" s="52"/>
      <c r="L30" s="52"/>
      <c r="M30" s="52"/>
      <c r="N30" s="52"/>
    </row>
    <row r="31" customFormat="false" ht="15" hidden="false" customHeight="true" outlineLevel="0" collapsed="false">
      <c r="B31" s="52"/>
      <c r="C31" s="52"/>
      <c r="D31" s="52"/>
      <c r="E31" s="52"/>
      <c r="F31" s="52"/>
      <c r="G31" s="52"/>
      <c r="H31" s="52"/>
      <c r="I31" s="52"/>
      <c r="J31" s="52"/>
      <c r="K31" s="52"/>
      <c r="L31" s="52"/>
      <c r="M31" s="52"/>
      <c r="N31" s="52"/>
    </row>
    <row r="33" customFormat="false" ht="15" hidden="false" customHeight="true" outlineLevel="0" collapsed="false">
      <c r="B33" s="52" t="s">
        <v>124</v>
      </c>
      <c r="C33" s="52"/>
      <c r="D33" s="52"/>
      <c r="E33" s="52"/>
      <c r="F33" s="52"/>
      <c r="G33" s="52"/>
      <c r="H33" s="52"/>
      <c r="I33" s="52"/>
      <c r="J33" s="52"/>
      <c r="K33" s="52"/>
      <c r="L33" s="52"/>
      <c r="M33" s="52"/>
      <c r="N33" s="52"/>
    </row>
    <row r="34" customFormat="false" ht="15" hidden="false" customHeight="false" outlineLevel="0" collapsed="false">
      <c r="B34" s="52"/>
      <c r="C34" s="52"/>
      <c r="D34" s="52"/>
      <c r="E34" s="52"/>
      <c r="F34" s="52"/>
      <c r="G34" s="52"/>
      <c r="H34" s="52"/>
      <c r="I34" s="52"/>
      <c r="J34" s="52"/>
      <c r="K34" s="52"/>
      <c r="L34" s="52"/>
      <c r="M34" s="52"/>
      <c r="N34" s="52"/>
    </row>
    <row r="35" customFormat="false" ht="15" hidden="false" customHeight="false" outlineLevel="0" collapsed="false">
      <c r="B35" s="52"/>
      <c r="C35" s="52"/>
      <c r="D35" s="52"/>
      <c r="E35" s="52"/>
      <c r="F35" s="52"/>
      <c r="G35" s="52"/>
      <c r="H35" s="52"/>
      <c r="I35" s="52"/>
      <c r="J35" s="52"/>
      <c r="K35" s="52"/>
      <c r="L35" s="52"/>
      <c r="M35" s="52"/>
      <c r="N35" s="52"/>
    </row>
  </sheetData>
  <mergeCells count="11">
    <mergeCell ref="A1:N1"/>
    <mergeCell ref="A2:N2"/>
    <mergeCell ref="B4:C4"/>
    <mergeCell ref="E4:N4"/>
    <mergeCell ref="B5:C5"/>
    <mergeCell ref="E5:N5"/>
    <mergeCell ref="B6:C6"/>
    <mergeCell ref="E6:N6"/>
    <mergeCell ref="B24:N27"/>
    <mergeCell ref="B29:N31"/>
    <mergeCell ref="B33:N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3"/>
    <col collapsed="false" customWidth="true" hidden="false" outlineLevel="0" max="5" min="3" style="1" width="15"/>
    <col collapsed="false" customWidth="true" hidden="false" outlineLevel="0" max="6" min="6" style="1" width="14.52"/>
    <col collapsed="false" customWidth="true" hidden="false" outlineLevel="0" max="7" min="7" style="1" width="18"/>
    <col collapsed="false" customWidth="true" hidden="false" outlineLevel="0" max="8" min="8" style="1" width="42"/>
  </cols>
  <sheetData>
    <row r="1" customFormat="false" ht="24" hidden="false" customHeight="true" outlineLevel="0" collapsed="false">
      <c r="A1" s="57" t="s">
        <v>125</v>
      </c>
      <c r="B1" s="57"/>
      <c r="C1" s="57"/>
      <c r="D1" s="57"/>
      <c r="E1" s="57"/>
      <c r="F1" s="57"/>
      <c r="G1" s="57"/>
      <c r="H1" s="57"/>
    </row>
    <row r="2" customFormat="false" ht="27.75" hidden="false" customHeight="true" outlineLevel="0" collapsed="false">
      <c r="A2" s="5" t="s">
        <v>126</v>
      </c>
      <c r="B2" s="5"/>
      <c r="C2" s="5"/>
      <c r="D2" s="5"/>
      <c r="E2" s="5"/>
      <c r="F2" s="5"/>
      <c r="G2" s="5"/>
      <c r="H2" s="5"/>
    </row>
    <row r="3" customFormat="false" ht="6.75" hidden="false" customHeight="true" outlineLevel="0" collapsed="false"/>
    <row r="4" customFormat="false" ht="30" hidden="false" customHeight="true" outlineLevel="0" collapsed="false">
      <c r="A4" s="65" t="s">
        <v>127</v>
      </c>
      <c r="B4" s="65" t="s">
        <v>128</v>
      </c>
      <c r="C4" s="65" t="s">
        <v>129</v>
      </c>
      <c r="D4" s="65" t="s">
        <v>130</v>
      </c>
      <c r="E4" s="65" t="s">
        <v>131</v>
      </c>
      <c r="F4" s="65" t="s">
        <v>132</v>
      </c>
      <c r="G4" s="65" t="s">
        <v>133</v>
      </c>
      <c r="H4" s="65" t="s">
        <v>134</v>
      </c>
    </row>
    <row r="5" customFormat="false" ht="18.75" hidden="false" customHeight="true" outlineLevel="0" collapsed="false">
      <c r="A5" s="90" t="s">
        <v>135</v>
      </c>
      <c r="B5" s="91" t="s">
        <v>136</v>
      </c>
      <c r="C5" s="92" t="n">
        <v>-26781700</v>
      </c>
      <c r="D5" s="92" t="n">
        <v>-26762079</v>
      </c>
      <c r="E5" s="92" t="n">
        <v>-26692166</v>
      </c>
      <c r="F5" s="93" t="n">
        <f aca="false">C5-E5</f>
        <v>-89534</v>
      </c>
      <c r="G5" s="92"/>
      <c r="H5" s="94" t="s">
        <v>137</v>
      </c>
    </row>
    <row r="6" customFormat="false" ht="18.75" hidden="false" customHeight="true" outlineLevel="0" collapsed="false">
      <c r="A6" s="95" t="s">
        <v>138</v>
      </c>
      <c r="B6" s="76" t="s">
        <v>139</v>
      </c>
      <c r="C6" s="77" t="n">
        <v>-26389516</v>
      </c>
      <c r="D6" s="77" t="n">
        <v>-26404696</v>
      </c>
      <c r="E6" s="77" t="n">
        <v>-26422559</v>
      </c>
      <c r="F6" s="78" t="n">
        <f aca="false">C6-E6</f>
        <v>33043</v>
      </c>
      <c r="G6" s="77" t="n">
        <f aca="false">E6-E$5</f>
        <v>269607</v>
      </c>
      <c r="H6" s="81" t="s">
        <v>140</v>
      </c>
    </row>
    <row r="7" customFormat="false" ht="18.75" hidden="false" customHeight="true" outlineLevel="0" collapsed="false">
      <c r="A7" s="96" t="s">
        <v>141</v>
      </c>
      <c r="B7" s="68" t="s">
        <v>139</v>
      </c>
      <c r="C7" s="69" t="n">
        <v>-26391399</v>
      </c>
      <c r="D7" s="69" t="n">
        <v>-26393577</v>
      </c>
      <c r="E7" s="69" t="n">
        <v>-26396957</v>
      </c>
      <c r="F7" s="70" t="n">
        <f aca="false">C7-E7</f>
        <v>5558</v>
      </c>
      <c r="G7" s="69" t="n">
        <f aca="false">E7-E$5</f>
        <v>295209</v>
      </c>
      <c r="H7" s="73" t="s">
        <v>142</v>
      </c>
    </row>
    <row r="8" customFormat="false" ht="18.75" hidden="false" customHeight="true" outlineLevel="0" collapsed="false">
      <c r="A8" s="97" t="s">
        <v>143</v>
      </c>
      <c r="B8" s="84" t="s">
        <v>139</v>
      </c>
      <c r="C8" s="85" t="n">
        <v>-26392654</v>
      </c>
      <c r="D8" s="85" t="n">
        <v>-26388897</v>
      </c>
      <c r="E8" s="85" t="n">
        <v>-26401668</v>
      </c>
      <c r="F8" s="86" t="n">
        <f aca="false">C8-E8</f>
        <v>9014</v>
      </c>
      <c r="G8" s="85" t="n">
        <f aca="false">E8-E$5</f>
        <v>290498</v>
      </c>
      <c r="H8" s="89" t="s">
        <v>144</v>
      </c>
    </row>
    <row r="10" customFormat="false" ht="19.5" hidden="false" customHeight="true" outlineLevel="0" collapsed="false">
      <c r="A10" s="98" t="s">
        <v>145</v>
      </c>
      <c r="B10" s="98"/>
      <c r="C10" s="98"/>
      <c r="D10" s="98"/>
      <c r="E10" s="98"/>
      <c r="F10" s="98"/>
      <c r="G10" s="98"/>
      <c r="H10" s="98"/>
    </row>
    <row r="11" customFormat="false" ht="39.75" hidden="false" customHeight="true" outlineLevel="0" collapsed="false">
      <c r="A11" s="99" t="s">
        <v>146</v>
      </c>
      <c r="B11" s="99"/>
      <c r="C11" s="100" t="s">
        <v>129</v>
      </c>
      <c r="D11" s="100" t="s">
        <v>130</v>
      </c>
      <c r="E11" s="100" t="s">
        <v>131</v>
      </c>
      <c r="F11" s="100" t="s">
        <v>147</v>
      </c>
      <c r="G11" s="100" t="s">
        <v>148</v>
      </c>
      <c r="H11" s="101" t="s">
        <v>149</v>
      </c>
    </row>
    <row r="12" customFormat="false" ht="18" hidden="false" customHeight="true" outlineLevel="0" collapsed="false">
      <c r="A12" s="102" t="str">
        <f aca="false">A6</f>
        <v>hill_climbing</v>
      </c>
      <c r="B12" s="102"/>
      <c r="C12" s="103" t="n">
        <f aca="false">C6-C$5</f>
        <v>392184</v>
      </c>
      <c r="D12" s="103" t="n">
        <f aca="false">D6-D$5</f>
        <v>357383</v>
      </c>
      <c r="E12" s="103" t="n">
        <f aca="false">E6-E$5</f>
        <v>269607</v>
      </c>
      <c r="F12" s="103" t="n">
        <f aca="false">E6-AVERAGE($C$5:$E$5)</f>
        <v>322756</v>
      </c>
      <c r="G12" s="103" t="n">
        <f aca="false">F6</f>
        <v>33043</v>
      </c>
      <c r="H12" s="104" t="n">
        <f aca="false">G12/F12</f>
        <v>0.102377647510813</v>
      </c>
    </row>
    <row r="13" customFormat="false" ht="18" hidden="false" customHeight="true" outlineLevel="0" collapsed="false">
      <c r="A13" s="102" t="str">
        <f aca="false">A7</f>
        <v>all 17</v>
      </c>
      <c r="B13" s="102"/>
      <c r="C13" s="103" t="n">
        <f aca="false">C7-C$5</f>
        <v>390301</v>
      </c>
      <c r="D13" s="103" t="n">
        <f aca="false">D7-D$5</f>
        <v>368502</v>
      </c>
      <c r="E13" s="103" t="n">
        <f aca="false">E7-E$5</f>
        <v>295209</v>
      </c>
      <c r="F13" s="103" t="n">
        <f aca="false">E7-AVERAGE($C$5:$E$5)</f>
        <v>348358</v>
      </c>
      <c r="G13" s="103" t="n">
        <f aca="false">F7</f>
        <v>5558</v>
      </c>
      <c r="H13" s="104" t="n">
        <f aca="false">G13/F13</f>
        <v>0.0159548510440409</v>
      </c>
    </row>
    <row r="14" customFormat="false" ht="18" hidden="false" customHeight="true" outlineLevel="0" collapsed="false">
      <c r="A14" s="102" t="str">
        <f aca="false">A8</f>
        <v>hc_bottleneck</v>
      </c>
      <c r="B14" s="102"/>
      <c r="C14" s="103" t="n">
        <f aca="false">C8-C$5</f>
        <v>389046</v>
      </c>
      <c r="D14" s="103" t="n">
        <f aca="false">D8-D$5</f>
        <v>373182</v>
      </c>
      <c r="E14" s="103" t="n">
        <f aca="false">E8-E$5</f>
        <v>290498</v>
      </c>
      <c r="F14" s="103" t="n">
        <f aca="false">E8-AVERAGE($C$5:$E$5)</f>
        <v>343647</v>
      </c>
      <c r="G14" s="103" t="n">
        <f aca="false">F8</f>
        <v>9014</v>
      </c>
      <c r="H14" s="104" t="n">
        <f aca="false">G14/F14</f>
        <v>0.0262304050377277</v>
      </c>
    </row>
    <row r="16" customFormat="false" ht="15" hidden="false" customHeight="true" outlineLevel="0" collapsed="false">
      <c r="A16" s="61" t="s">
        <v>150</v>
      </c>
      <c r="B16" s="61"/>
      <c r="C16" s="61"/>
      <c r="D16" s="61"/>
      <c r="E16" s="61"/>
      <c r="F16" s="61"/>
      <c r="G16" s="61"/>
      <c r="H16" s="61"/>
    </row>
    <row r="17" customFormat="false" ht="15" hidden="false" customHeight="true" outlineLevel="0" collapsed="false">
      <c r="A17" s="61"/>
      <c r="B17" s="61"/>
      <c r="C17" s="61"/>
      <c r="D17" s="61"/>
      <c r="E17" s="61"/>
      <c r="F17" s="61"/>
      <c r="G17" s="61"/>
      <c r="H17" s="61"/>
    </row>
    <row r="18" customFormat="false" ht="15" hidden="false" customHeight="true" outlineLevel="0" collapsed="false">
      <c r="A18" s="61"/>
      <c r="B18" s="61"/>
      <c r="C18" s="61"/>
      <c r="D18" s="61"/>
      <c r="E18" s="61"/>
      <c r="F18" s="61"/>
      <c r="G18" s="61"/>
      <c r="H18" s="61"/>
    </row>
    <row r="19" customFormat="false" ht="15" hidden="false" customHeight="true" outlineLevel="0" collapsed="false">
      <c r="A19" s="61"/>
      <c r="B19" s="61"/>
      <c r="C19" s="61"/>
      <c r="D19" s="61"/>
      <c r="E19" s="61"/>
      <c r="F19" s="61"/>
      <c r="G19" s="61"/>
      <c r="H19" s="61"/>
    </row>
    <row r="20" customFormat="false" ht="15" hidden="false" customHeight="true" outlineLevel="0" collapsed="false">
      <c r="A20" s="61"/>
      <c r="B20" s="61"/>
      <c r="C20" s="61"/>
      <c r="D20" s="61"/>
      <c r="E20" s="61"/>
      <c r="F20" s="61"/>
      <c r="G20" s="61"/>
      <c r="H20" s="61"/>
    </row>
    <row r="22" customFormat="false" ht="15" hidden="false" customHeight="true" outlineLevel="0" collapsed="false">
      <c r="A22" s="61" t="s">
        <v>151</v>
      </c>
      <c r="B22" s="61"/>
      <c r="C22" s="61"/>
      <c r="D22" s="61"/>
      <c r="E22" s="61"/>
      <c r="F22" s="61"/>
      <c r="G22" s="61"/>
      <c r="H22" s="61"/>
    </row>
    <row r="23" customFormat="false" ht="15" hidden="false" customHeight="true" outlineLevel="0" collapsed="false">
      <c r="A23" s="61"/>
      <c r="B23" s="61"/>
      <c r="C23" s="61"/>
      <c r="D23" s="61"/>
      <c r="E23" s="61"/>
      <c r="F23" s="61"/>
      <c r="G23" s="61"/>
      <c r="H23" s="61"/>
    </row>
    <row r="24" customFormat="false" ht="15" hidden="false" customHeight="true" outlineLevel="0" collapsed="false">
      <c r="A24" s="61"/>
      <c r="B24" s="61"/>
      <c r="C24" s="61"/>
      <c r="D24" s="61"/>
      <c r="E24" s="61"/>
      <c r="F24" s="61"/>
      <c r="G24" s="61"/>
      <c r="H24" s="61"/>
    </row>
    <row r="26" customFormat="false" ht="15" hidden="false" customHeight="true" outlineLevel="0" collapsed="false">
      <c r="A26" s="52" t="s">
        <v>152</v>
      </c>
      <c r="B26" s="52"/>
      <c r="C26" s="52"/>
      <c r="D26" s="52"/>
      <c r="E26" s="52"/>
      <c r="F26" s="52"/>
      <c r="G26" s="52"/>
      <c r="H26" s="52"/>
    </row>
    <row r="27" customFormat="false" ht="15" hidden="false" customHeight="true" outlineLevel="0" collapsed="false">
      <c r="A27" s="52"/>
      <c r="B27" s="52"/>
      <c r="C27" s="52"/>
      <c r="D27" s="52"/>
      <c r="E27" s="52"/>
      <c r="F27" s="52"/>
      <c r="G27" s="52"/>
      <c r="H27" s="52"/>
    </row>
  </sheetData>
  <mergeCells count="6">
    <mergeCell ref="A1:H1"/>
    <mergeCell ref="A2:H2"/>
    <mergeCell ref="A10:H10"/>
    <mergeCell ref="A16:H20"/>
    <mergeCell ref="A22:H24"/>
    <mergeCell ref="A26:H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B1:D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23"/>
    <col collapsed="false" customWidth="true" hidden="false" outlineLevel="0" max="3" min="3" style="1" width="30"/>
    <col collapsed="false" customWidth="true" hidden="false" outlineLevel="0" max="4" min="4" style="1" width="78"/>
  </cols>
  <sheetData>
    <row r="1" customFormat="false" ht="25.5" hidden="false" customHeight="true" outlineLevel="0" collapsed="false">
      <c r="B1" s="57" t="s">
        <v>153</v>
      </c>
      <c r="C1" s="57"/>
      <c r="D1" s="57"/>
    </row>
    <row r="2" customFormat="false" ht="12" hidden="false" customHeight="true" outlineLevel="0" collapsed="false">
      <c r="B2" s="105" t="s">
        <v>154</v>
      </c>
      <c r="C2" s="105"/>
      <c r="D2" s="105"/>
    </row>
    <row r="3" customFormat="false" ht="12" hidden="false" customHeight="true" outlineLevel="0" collapsed="false">
      <c r="B3" s="105"/>
      <c r="C3" s="105"/>
      <c r="D3" s="105"/>
    </row>
    <row r="6" customFormat="false" ht="21.75" hidden="false" customHeight="true" outlineLevel="0" collapsed="false">
      <c r="B6" s="98" t="s">
        <v>155</v>
      </c>
      <c r="C6" s="98"/>
      <c r="D6" s="98"/>
    </row>
    <row r="7" customFormat="false" ht="21" hidden="false" customHeight="true" outlineLevel="0" collapsed="false">
      <c r="B7" s="106" t="s">
        <v>156</v>
      </c>
      <c r="C7" s="106"/>
      <c r="D7" s="106"/>
    </row>
    <row r="8" customFormat="false" ht="21" hidden="false" customHeight="true" outlineLevel="0" collapsed="false">
      <c r="B8" s="106"/>
      <c r="C8" s="106"/>
      <c r="D8" s="106"/>
    </row>
    <row r="9" customFormat="false" ht="21" hidden="false" customHeight="true" outlineLevel="0" collapsed="false">
      <c r="B9" s="106"/>
      <c r="C9" s="106"/>
      <c r="D9" s="106"/>
    </row>
    <row r="10" customFormat="false" ht="21" hidden="false" customHeight="true" outlineLevel="0" collapsed="false">
      <c r="B10" s="106"/>
      <c r="C10" s="106"/>
      <c r="D10" s="106"/>
    </row>
    <row r="12" customFormat="false" ht="12" hidden="false" customHeight="true" outlineLevel="0" collapsed="false">
      <c r="B12" s="106" t="s">
        <v>157</v>
      </c>
      <c r="C12" s="106"/>
      <c r="D12" s="106"/>
    </row>
    <row r="13" customFormat="false" ht="12" hidden="false" customHeight="true" outlineLevel="0" collapsed="false">
      <c r="B13" s="106"/>
      <c r="C13" s="106"/>
      <c r="D13" s="106"/>
    </row>
    <row r="14" customFormat="false" ht="12" hidden="false" customHeight="true" outlineLevel="0" collapsed="false">
      <c r="B14" s="106"/>
      <c r="C14" s="106"/>
      <c r="D14" s="106"/>
    </row>
    <row r="15" customFormat="false" ht="12" hidden="false" customHeight="true" outlineLevel="0" collapsed="false">
      <c r="B15" s="106"/>
      <c r="C15" s="106"/>
      <c r="D15" s="106"/>
    </row>
    <row r="16" customFormat="false" ht="12" hidden="false" customHeight="true" outlineLevel="0" collapsed="false">
      <c r="B16" s="106"/>
      <c r="C16" s="106"/>
      <c r="D16" s="106"/>
    </row>
    <row r="19" customFormat="false" ht="21.75" hidden="false" customHeight="true" outlineLevel="0" collapsed="false">
      <c r="B19" s="98" t="s">
        <v>158</v>
      </c>
      <c r="C19" s="98"/>
      <c r="D19" s="98"/>
    </row>
    <row r="20" customFormat="false" ht="18" hidden="false" customHeight="true" outlineLevel="0" collapsed="false">
      <c r="B20" s="107" t="s">
        <v>159</v>
      </c>
      <c r="C20" s="107" t="s">
        <v>160</v>
      </c>
      <c r="D20" s="107" t="s">
        <v>134</v>
      </c>
    </row>
    <row r="21" customFormat="false" ht="27.75" hidden="false" customHeight="true" outlineLevel="0" collapsed="false">
      <c r="B21" s="108" t="s">
        <v>6</v>
      </c>
      <c r="C21" s="109" t="s">
        <v>161</v>
      </c>
      <c r="D21" s="109" t="s">
        <v>162</v>
      </c>
    </row>
    <row r="22" customFormat="false" ht="27.75" hidden="false" customHeight="true" outlineLevel="0" collapsed="false">
      <c r="B22" s="110" t="s">
        <v>7</v>
      </c>
      <c r="C22" s="111" t="s">
        <v>163</v>
      </c>
      <c r="D22" s="111" t="s">
        <v>164</v>
      </c>
    </row>
    <row r="23" customFormat="false" ht="27.75" hidden="false" customHeight="true" outlineLevel="0" collapsed="false">
      <c r="B23" s="108" t="s">
        <v>8</v>
      </c>
      <c r="C23" s="109" t="s">
        <v>165</v>
      </c>
      <c r="D23" s="109" t="s">
        <v>166</v>
      </c>
    </row>
    <row r="24" customFormat="false" ht="27.75" hidden="false" customHeight="true" outlineLevel="0" collapsed="false">
      <c r="B24" s="110" t="s">
        <v>9</v>
      </c>
      <c r="C24" s="111" t="s">
        <v>167</v>
      </c>
      <c r="D24" s="111" t="s">
        <v>168</v>
      </c>
    </row>
    <row r="25" customFormat="false" ht="39" hidden="false" customHeight="true" outlineLevel="0" collapsed="false">
      <c r="B25" s="108" t="s">
        <v>10</v>
      </c>
      <c r="C25" s="109" t="s">
        <v>169</v>
      </c>
      <c r="D25" s="109" t="s">
        <v>170</v>
      </c>
    </row>
    <row r="26" customFormat="false" ht="39" hidden="false" customHeight="true" outlineLevel="0" collapsed="false">
      <c r="B26" s="110" t="s">
        <v>11</v>
      </c>
      <c r="C26" s="111" t="s">
        <v>171</v>
      </c>
      <c r="D26" s="111" t="s">
        <v>172</v>
      </c>
    </row>
    <row r="27" customFormat="false" ht="66" hidden="false" customHeight="true" outlineLevel="0" collapsed="false">
      <c r="B27" s="108" t="s">
        <v>173</v>
      </c>
      <c r="C27" s="109" t="s">
        <v>174</v>
      </c>
      <c r="D27" s="109" t="s">
        <v>175</v>
      </c>
    </row>
    <row r="28" customFormat="false" ht="50.25" hidden="false" customHeight="true" outlineLevel="0" collapsed="false">
      <c r="B28" s="110" t="s">
        <v>18</v>
      </c>
      <c r="C28" s="111" t="s">
        <v>176</v>
      </c>
      <c r="D28" s="111" t="s">
        <v>177</v>
      </c>
    </row>
    <row r="31" customFormat="false" ht="21.75" hidden="false" customHeight="true" outlineLevel="0" collapsed="false">
      <c r="B31" s="98" t="s">
        <v>178</v>
      </c>
      <c r="C31" s="98"/>
      <c r="D31" s="98"/>
    </row>
    <row r="32" customFormat="false" ht="12" hidden="false" customHeight="true" outlineLevel="0" collapsed="false">
      <c r="B32" s="106" t="s">
        <v>179</v>
      </c>
      <c r="C32" s="106"/>
      <c r="D32" s="106"/>
    </row>
    <row r="33" customFormat="false" ht="12" hidden="false" customHeight="true" outlineLevel="0" collapsed="false">
      <c r="B33" s="106"/>
      <c r="C33" s="106"/>
      <c r="D33" s="106"/>
    </row>
    <row r="34" customFormat="false" ht="12" hidden="false" customHeight="true" outlineLevel="0" collapsed="false">
      <c r="B34" s="106"/>
      <c r="C34" s="106"/>
      <c r="D34" s="106"/>
    </row>
    <row r="36" customFormat="false" ht="18" hidden="false" customHeight="true" outlineLevel="0" collapsed="false">
      <c r="B36" s="107" t="s">
        <v>180</v>
      </c>
      <c r="C36" s="107" t="s">
        <v>181</v>
      </c>
      <c r="D36" s="107" t="s">
        <v>182</v>
      </c>
    </row>
    <row r="37" customFormat="false" ht="63.75" hidden="false" customHeight="true" outlineLevel="0" collapsed="false">
      <c r="B37" s="108" t="s">
        <v>183</v>
      </c>
      <c r="C37" s="109" t="s">
        <v>184</v>
      </c>
      <c r="D37" s="109" t="s">
        <v>185</v>
      </c>
    </row>
    <row r="38" customFormat="false" ht="63.75" hidden="false" customHeight="true" outlineLevel="0" collapsed="false">
      <c r="B38" s="110" t="s">
        <v>186</v>
      </c>
      <c r="C38" s="111" t="s">
        <v>187</v>
      </c>
      <c r="D38" s="111" t="s">
        <v>188</v>
      </c>
    </row>
    <row r="39" customFormat="false" ht="63.75" hidden="false" customHeight="true" outlineLevel="0" collapsed="false">
      <c r="B39" s="108" t="s">
        <v>189</v>
      </c>
      <c r="C39" s="109" t="s">
        <v>190</v>
      </c>
      <c r="D39" s="109" t="s">
        <v>191</v>
      </c>
    </row>
    <row r="41" customFormat="false" ht="24" hidden="false" customHeight="true" outlineLevel="0" collapsed="false">
      <c r="B41" s="106" t="s">
        <v>192</v>
      </c>
      <c r="C41" s="106"/>
      <c r="D41" s="106"/>
    </row>
    <row r="42" customFormat="false" ht="24" hidden="false" customHeight="true" outlineLevel="0" collapsed="false">
      <c r="B42" s="106"/>
      <c r="C42" s="106"/>
      <c r="D42" s="106"/>
    </row>
    <row r="43" customFormat="false" ht="24" hidden="false" customHeight="true" outlineLevel="0" collapsed="false">
      <c r="B43" s="106"/>
      <c r="C43" s="106"/>
      <c r="D43" s="106"/>
    </row>
    <row r="44" customFormat="false" ht="24" hidden="false" customHeight="true" outlineLevel="0" collapsed="false">
      <c r="B44" s="106"/>
      <c r="C44" s="106"/>
      <c r="D44" s="106"/>
    </row>
    <row r="46" customFormat="false" ht="16.5" hidden="false" customHeight="true" outlineLevel="0" collapsed="false">
      <c r="B46" s="106" t="s">
        <v>193</v>
      </c>
      <c r="C46" s="106"/>
      <c r="D46" s="106"/>
    </row>
    <row r="47" customFormat="false" ht="16.5" hidden="false" customHeight="true" outlineLevel="0" collapsed="false">
      <c r="B47" s="106"/>
      <c r="C47" s="106"/>
      <c r="D47" s="106"/>
    </row>
    <row r="48" customFormat="false" ht="16.5" hidden="false" customHeight="true" outlineLevel="0" collapsed="false">
      <c r="B48" s="106"/>
      <c r="C48" s="106"/>
      <c r="D48" s="106"/>
    </row>
    <row r="49" customFormat="false" ht="16.5" hidden="false" customHeight="true" outlineLevel="0" collapsed="false">
      <c r="B49" s="106"/>
      <c r="C49" s="106"/>
      <c r="D49" s="106"/>
    </row>
    <row r="52" customFormat="false" ht="21.75" hidden="false" customHeight="true" outlineLevel="0" collapsed="false">
      <c r="B52" s="98" t="s">
        <v>194</v>
      </c>
      <c r="C52" s="98"/>
      <c r="D52" s="98"/>
    </row>
    <row r="53" customFormat="false" ht="18" hidden="false" customHeight="true" outlineLevel="0" collapsed="false">
      <c r="B53" s="106" t="s">
        <v>195</v>
      </c>
      <c r="C53" s="106"/>
      <c r="D53" s="106"/>
    </row>
    <row r="54" customFormat="false" ht="18" hidden="false" customHeight="true" outlineLevel="0" collapsed="false">
      <c r="B54" s="106"/>
      <c r="C54" s="106"/>
      <c r="D54" s="106"/>
    </row>
    <row r="55" customFormat="false" ht="18" hidden="false" customHeight="true" outlineLevel="0" collapsed="false">
      <c r="B55" s="106"/>
      <c r="C55" s="106"/>
      <c r="D55" s="106"/>
    </row>
    <row r="57" customFormat="false" ht="24" hidden="false" customHeight="true" outlineLevel="0" collapsed="false">
      <c r="B57" s="106" t="s">
        <v>196</v>
      </c>
      <c r="C57" s="106"/>
      <c r="D57" s="106"/>
    </row>
    <row r="58" customFormat="false" ht="24" hidden="false" customHeight="true" outlineLevel="0" collapsed="false">
      <c r="B58" s="106"/>
      <c r="C58" s="106"/>
      <c r="D58" s="106"/>
    </row>
    <row r="60" customFormat="false" ht="12" hidden="false" customHeight="true" outlineLevel="0" collapsed="false">
      <c r="B60" s="106" t="s">
        <v>197</v>
      </c>
      <c r="C60" s="106"/>
      <c r="D60" s="106"/>
    </row>
    <row r="61" customFormat="false" ht="12" hidden="false" customHeight="true" outlineLevel="0" collapsed="false">
      <c r="B61" s="106"/>
      <c r="C61" s="106"/>
      <c r="D61" s="106"/>
    </row>
    <row r="62" customFormat="false" ht="12" hidden="false" customHeight="true" outlineLevel="0" collapsed="false">
      <c r="B62" s="106"/>
      <c r="C62" s="106"/>
      <c r="D62" s="106"/>
    </row>
    <row r="64" customFormat="false" ht="12" hidden="false" customHeight="true" outlineLevel="0" collapsed="false">
      <c r="B64" s="106" t="s">
        <v>198</v>
      </c>
      <c r="C64" s="106"/>
      <c r="D64" s="106"/>
    </row>
    <row r="65" customFormat="false" ht="12" hidden="false" customHeight="true" outlineLevel="0" collapsed="false">
      <c r="B65" s="106"/>
      <c r="C65" s="106"/>
      <c r="D65" s="106"/>
    </row>
    <row r="66" customFormat="false" ht="12" hidden="false" customHeight="true" outlineLevel="0" collapsed="false">
      <c r="B66" s="106"/>
      <c r="C66" s="106"/>
      <c r="D66" s="106"/>
    </row>
    <row r="68" customFormat="false" ht="12" hidden="false" customHeight="true" outlineLevel="0" collapsed="false">
      <c r="B68" s="106" t="s">
        <v>199</v>
      </c>
      <c r="C68" s="106"/>
      <c r="D68" s="106"/>
    </row>
    <row r="69" customFormat="false" ht="12" hidden="false" customHeight="true" outlineLevel="0" collapsed="false">
      <c r="B69" s="106"/>
      <c r="C69" s="106"/>
      <c r="D69" s="106"/>
    </row>
    <row r="71" customFormat="false" ht="12" hidden="false" customHeight="true" outlineLevel="0" collapsed="false">
      <c r="B71" s="106" t="s">
        <v>200</v>
      </c>
      <c r="C71" s="106"/>
      <c r="D71" s="106"/>
    </row>
    <row r="72" customFormat="false" ht="12" hidden="false" customHeight="true" outlineLevel="0" collapsed="false">
      <c r="B72" s="106"/>
      <c r="C72" s="106"/>
      <c r="D72" s="106"/>
    </row>
    <row r="73" customFormat="false" ht="12" hidden="false" customHeight="true" outlineLevel="0" collapsed="false">
      <c r="B73" s="106"/>
      <c r="C73" s="106"/>
      <c r="D73" s="106"/>
    </row>
    <row r="76" customFormat="false" ht="21.75" hidden="false" customHeight="true" outlineLevel="0" collapsed="false">
      <c r="B76" s="98" t="s">
        <v>201</v>
      </c>
      <c r="C76" s="98"/>
      <c r="D76" s="98"/>
    </row>
    <row r="77" customFormat="false" ht="18" hidden="false" customHeight="true" outlineLevel="0" collapsed="false">
      <c r="B77" s="107" t="s">
        <v>202</v>
      </c>
      <c r="C77" s="107" t="s">
        <v>203</v>
      </c>
      <c r="D77" s="107" t="s">
        <v>204</v>
      </c>
    </row>
    <row r="78" customFormat="false" ht="39" hidden="false" customHeight="true" outlineLevel="0" collapsed="false">
      <c r="B78" s="108" t="s">
        <v>205</v>
      </c>
      <c r="C78" s="109" t="s">
        <v>206</v>
      </c>
      <c r="D78" s="109" t="s">
        <v>207</v>
      </c>
    </row>
    <row r="79" customFormat="false" ht="39" hidden="false" customHeight="true" outlineLevel="0" collapsed="false">
      <c r="B79" s="110" t="s">
        <v>37</v>
      </c>
      <c r="C79" s="111" t="s">
        <v>208</v>
      </c>
      <c r="D79" s="111" t="s">
        <v>209</v>
      </c>
    </row>
    <row r="80" customFormat="false" ht="27.75" hidden="false" customHeight="true" outlineLevel="0" collapsed="false">
      <c r="B80" s="108" t="s">
        <v>93</v>
      </c>
      <c r="C80" s="109" t="s">
        <v>210</v>
      </c>
      <c r="D80" s="109" t="s">
        <v>211</v>
      </c>
    </row>
    <row r="81" customFormat="false" ht="61.5" hidden="false" customHeight="true" outlineLevel="0" collapsed="false">
      <c r="B81" s="110" t="s">
        <v>212</v>
      </c>
      <c r="C81" s="111" t="s">
        <v>213</v>
      </c>
      <c r="D81" s="111" t="s">
        <v>214</v>
      </c>
    </row>
    <row r="82" customFormat="false" ht="72.75" hidden="false" customHeight="true" outlineLevel="0" collapsed="false">
      <c r="B82" s="108" t="s">
        <v>215</v>
      </c>
      <c r="C82" s="109" t="s">
        <v>216</v>
      </c>
      <c r="D82" s="109" t="s">
        <v>217</v>
      </c>
    </row>
    <row r="83" customFormat="false" ht="19.5" hidden="false" customHeight="true" outlineLevel="0" collapsed="false">
      <c r="B83" s="110" t="s">
        <v>218</v>
      </c>
      <c r="C83" s="111" t="s">
        <v>219</v>
      </c>
      <c r="D83" s="111" t="s">
        <v>220</v>
      </c>
    </row>
    <row r="84" customFormat="false" ht="27.75" hidden="false" customHeight="true" outlineLevel="0" collapsed="false">
      <c r="B84" s="108" t="s">
        <v>221</v>
      </c>
      <c r="C84" s="109" t="s">
        <v>222</v>
      </c>
      <c r="D84" s="109" t="s">
        <v>223</v>
      </c>
    </row>
    <row r="85" customFormat="false" ht="84.75" hidden="false" customHeight="true" outlineLevel="0" collapsed="false">
      <c r="B85" s="110" t="s">
        <v>224</v>
      </c>
      <c r="C85" s="111" t="s">
        <v>225</v>
      </c>
      <c r="D85" s="111" t="s">
        <v>226</v>
      </c>
    </row>
    <row r="86" customFormat="false" ht="61.5" hidden="false" customHeight="true" outlineLevel="0" collapsed="false">
      <c r="B86" s="108" t="s">
        <v>227</v>
      </c>
      <c r="C86" s="109" t="s">
        <v>228</v>
      </c>
      <c r="D86" s="109" t="s">
        <v>229</v>
      </c>
    </row>
    <row r="88" customFormat="false" ht="19.5" hidden="false" customHeight="true" outlineLevel="0" collapsed="false">
      <c r="B88" s="105" t="s">
        <v>230</v>
      </c>
      <c r="C88" s="105"/>
      <c r="D88" s="105"/>
    </row>
    <row r="89" customFormat="false" ht="19.5" hidden="false" customHeight="true" outlineLevel="0" collapsed="false">
      <c r="B89" s="105"/>
      <c r="C89" s="105"/>
      <c r="D89" s="105"/>
    </row>
    <row r="90" customFormat="false" ht="19.5" hidden="false" customHeight="true" outlineLevel="0" collapsed="false">
      <c r="B90" s="105"/>
      <c r="C90" s="105"/>
      <c r="D90" s="105"/>
    </row>
    <row r="92" customFormat="false" ht="15" hidden="false" customHeight="false" outlineLevel="0" collapsed="false">
      <c r="B92" s="98" t="s">
        <v>231</v>
      </c>
      <c r="C92" s="98"/>
      <c r="D92" s="98"/>
    </row>
    <row r="93" customFormat="false" ht="15" hidden="false" customHeight="false" outlineLevel="0" collapsed="false">
      <c r="B93" s="107" t="s">
        <v>202</v>
      </c>
      <c r="C93" s="107" t="s">
        <v>203</v>
      </c>
      <c r="D93" s="107" t="s">
        <v>204</v>
      </c>
    </row>
    <row r="94" customFormat="false" ht="66" hidden="false" customHeight="true" outlineLevel="0" collapsed="false">
      <c r="B94" s="108" t="s">
        <v>97</v>
      </c>
      <c r="C94" s="109" t="s">
        <v>232</v>
      </c>
      <c r="D94" s="109" t="s">
        <v>233</v>
      </c>
    </row>
    <row r="95" customFormat="false" ht="39.75" hidden="false" customHeight="true" outlineLevel="0" collapsed="false">
      <c r="B95" s="110" t="s">
        <v>184</v>
      </c>
      <c r="C95" s="111" t="s">
        <v>234</v>
      </c>
      <c r="D95" s="111" t="s">
        <v>235</v>
      </c>
    </row>
    <row r="96" customFormat="false" ht="39.75" hidden="false" customHeight="true" outlineLevel="0" collapsed="false">
      <c r="B96" s="108" t="s">
        <v>236</v>
      </c>
      <c r="C96" s="109" t="s">
        <v>237</v>
      </c>
      <c r="D96" s="109" t="s">
        <v>238</v>
      </c>
    </row>
    <row r="97" customFormat="false" ht="39.75" hidden="false" customHeight="true" outlineLevel="0" collapsed="false">
      <c r="B97" s="110" t="s">
        <v>239</v>
      </c>
      <c r="C97" s="111" t="s">
        <v>240</v>
      </c>
      <c r="D97" s="111" t="s">
        <v>241</v>
      </c>
    </row>
    <row r="98" customFormat="false" ht="39.75" hidden="false" customHeight="true" outlineLevel="0" collapsed="false">
      <c r="B98" s="108" t="s">
        <v>242</v>
      </c>
      <c r="C98" s="109" t="s">
        <v>243</v>
      </c>
      <c r="D98" s="109" t="s">
        <v>244</v>
      </c>
    </row>
    <row r="99" customFormat="false" ht="66" hidden="false" customHeight="true" outlineLevel="0" collapsed="false">
      <c r="B99" s="110" t="s">
        <v>245</v>
      </c>
      <c r="C99" s="111" t="s">
        <v>246</v>
      </c>
      <c r="D99" s="111" t="s">
        <v>247</v>
      </c>
    </row>
    <row r="100" customFormat="false" ht="39.75" hidden="false" customHeight="true" outlineLevel="0" collapsed="false">
      <c r="B100" s="108" t="s">
        <v>248</v>
      </c>
      <c r="C100" s="109" t="s">
        <v>249</v>
      </c>
      <c r="D100" s="109" t="s">
        <v>250</v>
      </c>
    </row>
    <row r="101" customFormat="false" ht="39.75" hidden="false" customHeight="true" outlineLevel="0" collapsed="false">
      <c r="B101" s="110" t="s">
        <v>251</v>
      </c>
      <c r="C101" s="111" t="s">
        <v>34</v>
      </c>
      <c r="D101" s="111" t="s">
        <v>252</v>
      </c>
    </row>
  </sheetData>
  <mergeCells count="20">
    <mergeCell ref="B1:D1"/>
    <mergeCell ref="B2:D3"/>
    <mergeCell ref="B6:D6"/>
    <mergeCell ref="B7:D10"/>
    <mergeCell ref="B12:D16"/>
    <mergeCell ref="B19:D19"/>
    <mergeCell ref="B31:D31"/>
    <mergeCell ref="B32:D34"/>
    <mergeCell ref="B41:D44"/>
    <mergeCell ref="B46:D49"/>
    <mergeCell ref="B52:D52"/>
    <mergeCell ref="B53:D55"/>
    <mergeCell ref="B57:D58"/>
    <mergeCell ref="B60:D62"/>
    <mergeCell ref="B64:D66"/>
    <mergeCell ref="B68:D69"/>
    <mergeCell ref="B71:D73"/>
    <mergeCell ref="B76:D76"/>
    <mergeCell ref="B88:D90"/>
    <mergeCell ref="B92:D9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1"/>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9"/>
    <col collapsed="false" customWidth="true" hidden="false" outlineLevel="0" max="6" min="6" style="0" width="40"/>
  </cols>
  <sheetData>
    <row r="1" customFormat="false" ht="18.55" hidden="false" customHeight="false" outlineLevel="0" collapsed="false">
      <c r="A1" s="2" t="s">
        <v>253</v>
      </c>
      <c r="B1" s="2"/>
      <c r="C1" s="2"/>
      <c r="D1" s="2"/>
      <c r="E1" s="2"/>
      <c r="F1" s="2"/>
    </row>
    <row r="2" customFormat="false" ht="27.75" hidden="false" customHeight="true" outlineLevel="0" collapsed="false">
      <c r="A2" s="5" t="s">
        <v>254</v>
      </c>
      <c r="B2" s="5"/>
      <c r="C2" s="5"/>
      <c r="D2" s="5"/>
      <c r="E2" s="5"/>
      <c r="F2" s="5"/>
    </row>
    <row r="4" customFormat="false" ht="15" hidden="false" customHeight="false" outlineLevel="0" collapsed="false">
      <c r="A4" s="6" t="s">
        <v>4</v>
      </c>
      <c r="B4" s="6" t="s">
        <v>255</v>
      </c>
      <c r="C4" s="6" t="s">
        <v>256</v>
      </c>
      <c r="D4" s="6" t="s">
        <v>257</v>
      </c>
      <c r="E4" s="6" t="s">
        <v>258</v>
      </c>
      <c r="F4" s="6" t="s">
        <v>259</v>
      </c>
    </row>
    <row r="5" customFormat="false" ht="30" hidden="false" customHeight="true" outlineLevel="0" collapsed="false">
      <c r="A5" s="112" t="n">
        <v>1</v>
      </c>
      <c r="B5" s="113" t="s">
        <v>260</v>
      </c>
      <c r="C5" s="113" t="s">
        <v>261</v>
      </c>
      <c r="D5" s="113" t="s">
        <v>262</v>
      </c>
      <c r="E5" s="114" t="s">
        <v>263</v>
      </c>
      <c r="F5" s="113" t="s">
        <v>264</v>
      </c>
    </row>
    <row r="6" customFormat="false" ht="30" hidden="false" customHeight="true" outlineLevel="0" collapsed="false">
      <c r="A6" s="115" t="n">
        <v>2</v>
      </c>
      <c r="B6" s="116" t="s">
        <v>265</v>
      </c>
      <c r="C6" s="116" t="s">
        <v>6</v>
      </c>
      <c r="D6" s="116" t="s">
        <v>266</v>
      </c>
      <c r="E6" s="117" t="s">
        <v>263</v>
      </c>
      <c r="F6" s="116" t="s">
        <v>161</v>
      </c>
    </row>
    <row r="7" customFormat="false" ht="30" hidden="false" customHeight="true" outlineLevel="0" collapsed="false">
      <c r="A7" s="112" t="n">
        <v>3</v>
      </c>
      <c r="B7" s="113" t="s">
        <v>267</v>
      </c>
      <c r="C7" s="113" t="s">
        <v>268</v>
      </c>
      <c r="D7" s="113" t="s">
        <v>269</v>
      </c>
      <c r="E7" s="114" t="s">
        <v>263</v>
      </c>
      <c r="F7" s="113" t="s">
        <v>270</v>
      </c>
    </row>
    <row r="8" customFormat="false" ht="30" hidden="false" customHeight="true" outlineLevel="0" collapsed="false">
      <c r="A8" s="115" t="n">
        <v>4</v>
      </c>
      <c r="B8" s="116" t="s">
        <v>271</v>
      </c>
      <c r="C8" s="116" t="s">
        <v>272</v>
      </c>
      <c r="D8" s="116" t="s">
        <v>273</v>
      </c>
      <c r="E8" s="117" t="s">
        <v>263</v>
      </c>
      <c r="F8" s="116" t="s">
        <v>274</v>
      </c>
    </row>
    <row r="9" customFormat="false" ht="30" hidden="false" customHeight="true" outlineLevel="0" collapsed="false">
      <c r="A9" s="112" t="n">
        <v>5</v>
      </c>
      <c r="B9" s="113" t="s">
        <v>275</v>
      </c>
      <c r="C9" s="113" t="s">
        <v>276</v>
      </c>
      <c r="D9" s="113" t="s">
        <v>277</v>
      </c>
      <c r="E9" s="114" t="s">
        <v>263</v>
      </c>
      <c r="F9" s="113" t="s">
        <v>278</v>
      </c>
    </row>
    <row r="10" customFormat="false" ht="30" hidden="false" customHeight="true" outlineLevel="0" collapsed="false">
      <c r="A10" s="115" t="n">
        <v>6</v>
      </c>
      <c r="B10" s="116" t="s">
        <v>279</v>
      </c>
      <c r="C10" s="116" t="s">
        <v>280</v>
      </c>
      <c r="D10" s="116" t="s">
        <v>281</v>
      </c>
      <c r="E10" s="118" t="s">
        <v>282</v>
      </c>
      <c r="F10" s="116" t="s">
        <v>283</v>
      </c>
    </row>
    <row r="11" customFormat="false" ht="30" hidden="false" customHeight="true" outlineLevel="0" collapsed="false">
      <c r="A11" s="112" t="n">
        <v>7</v>
      </c>
      <c r="B11" s="113" t="s">
        <v>284</v>
      </c>
      <c r="C11" s="113" t="s">
        <v>37</v>
      </c>
      <c r="D11" s="113" t="s">
        <v>285</v>
      </c>
      <c r="E11" s="119" t="s">
        <v>286</v>
      </c>
      <c r="F11" s="113" t="s">
        <v>287</v>
      </c>
    </row>
    <row r="12" customFormat="false" ht="30" hidden="false" customHeight="true" outlineLevel="0" collapsed="false">
      <c r="A12" s="115" t="n">
        <v>8</v>
      </c>
      <c r="B12" s="116" t="s">
        <v>288</v>
      </c>
      <c r="C12" s="116" t="s">
        <v>289</v>
      </c>
      <c r="D12" s="116" t="s">
        <v>290</v>
      </c>
      <c r="E12" s="117" t="s">
        <v>263</v>
      </c>
      <c r="F12" s="116" t="s">
        <v>291</v>
      </c>
    </row>
    <row r="13" customFormat="false" ht="30" hidden="false" customHeight="true" outlineLevel="0" collapsed="false">
      <c r="A13" s="112" t="n">
        <v>9</v>
      </c>
      <c r="B13" s="113" t="s">
        <v>292</v>
      </c>
      <c r="C13" s="113" t="s">
        <v>293</v>
      </c>
      <c r="D13" s="113" t="s">
        <v>294</v>
      </c>
      <c r="E13" s="119" t="s">
        <v>286</v>
      </c>
      <c r="F13" s="113" t="s">
        <v>295</v>
      </c>
    </row>
    <row r="14" customFormat="false" ht="30" hidden="false" customHeight="true" outlineLevel="0" collapsed="false">
      <c r="A14" s="115" t="n">
        <v>10</v>
      </c>
      <c r="B14" s="116" t="s">
        <v>296</v>
      </c>
      <c r="C14" s="116" t="s">
        <v>297</v>
      </c>
      <c r="D14" s="116" t="s">
        <v>298</v>
      </c>
      <c r="E14" s="117" t="s">
        <v>263</v>
      </c>
      <c r="F14" s="116" t="s">
        <v>264</v>
      </c>
    </row>
    <row r="15" customFormat="false" ht="30" hidden="false" customHeight="true" outlineLevel="0" collapsed="false">
      <c r="A15" s="112" t="n">
        <v>11</v>
      </c>
      <c r="B15" s="113" t="s">
        <v>299</v>
      </c>
      <c r="C15" s="113" t="s">
        <v>300</v>
      </c>
      <c r="D15" s="113" t="s">
        <v>301</v>
      </c>
      <c r="E15" s="114" t="s">
        <v>263</v>
      </c>
      <c r="F15" s="113" t="s">
        <v>302</v>
      </c>
    </row>
    <row r="16" customFormat="false" ht="30" hidden="false" customHeight="true" outlineLevel="0" collapsed="false">
      <c r="A16" s="115" t="n">
        <v>12</v>
      </c>
      <c r="B16" s="116" t="s">
        <v>303</v>
      </c>
      <c r="C16" s="116" t="s">
        <v>304</v>
      </c>
      <c r="D16" s="116" t="s">
        <v>305</v>
      </c>
      <c r="E16" s="120" t="s">
        <v>286</v>
      </c>
      <c r="F16" s="116" t="s">
        <v>306</v>
      </c>
    </row>
    <row r="17" customFormat="false" ht="30" hidden="false" customHeight="true" outlineLevel="0" collapsed="false">
      <c r="A17" s="112" t="n">
        <v>13</v>
      </c>
      <c r="B17" s="113" t="s">
        <v>307</v>
      </c>
      <c r="C17" s="113" t="s">
        <v>308</v>
      </c>
      <c r="D17" s="113" t="s">
        <v>309</v>
      </c>
      <c r="E17" s="121" t="s">
        <v>282</v>
      </c>
      <c r="F17" s="113" t="s">
        <v>291</v>
      </c>
    </row>
    <row r="18" customFormat="false" ht="30" hidden="false" customHeight="true" outlineLevel="0" collapsed="false">
      <c r="A18" s="115" t="n">
        <v>14</v>
      </c>
      <c r="B18" s="116" t="s">
        <v>310</v>
      </c>
      <c r="C18" s="116" t="s">
        <v>311</v>
      </c>
      <c r="D18" s="116" t="s">
        <v>312</v>
      </c>
      <c r="E18" s="118" t="s">
        <v>282</v>
      </c>
      <c r="F18" s="116" t="s">
        <v>161</v>
      </c>
    </row>
    <row r="19" customFormat="false" ht="30" hidden="false" customHeight="true" outlineLevel="0" collapsed="false">
      <c r="A19" s="112" t="n">
        <v>15</v>
      </c>
      <c r="B19" s="113" t="s">
        <v>313</v>
      </c>
      <c r="C19" s="113" t="s">
        <v>314</v>
      </c>
      <c r="D19" s="113" t="s">
        <v>315</v>
      </c>
      <c r="E19" s="121" t="s">
        <v>282</v>
      </c>
      <c r="F19" s="113" t="s">
        <v>316</v>
      </c>
    </row>
    <row r="20" customFormat="false" ht="30" hidden="false" customHeight="true" outlineLevel="0" collapsed="false">
      <c r="A20" s="115" t="n">
        <v>16</v>
      </c>
      <c r="B20" s="116" t="s">
        <v>317</v>
      </c>
      <c r="C20" s="116" t="s">
        <v>318</v>
      </c>
      <c r="D20" s="116" t="s">
        <v>319</v>
      </c>
      <c r="E20" s="117" t="s">
        <v>263</v>
      </c>
      <c r="F20" s="116" t="s">
        <v>287</v>
      </c>
    </row>
    <row r="21" customFormat="false" ht="30" hidden="false" customHeight="true" outlineLevel="0" collapsed="false">
      <c r="A21" s="112" t="n">
        <v>17</v>
      </c>
      <c r="B21" s="113" t="s">
        <v>320</v>
      </c>
      <c r="C21" s="113" t="s">
        <v>321</v>
      </c>
      <c r="D21" s="113" t="s">
        <v>322</v>
      </c>
      <c r="E21" s="114" t="s">
        <v>263</v>
      </c>
      <c r="F21" s="113" t="s">
        <v>323</v>
      </c>
    </row>
    <row r="22" customFormat="false" ht="30" hidden="false" customHeight="true" outlineLevel="0" collapsed="false">
      <c r="A22" s="115" t="n">
        <v>18</v>
      </c>
      <c r="B22" s="116" t="s">
        <v>324</v>
      </c>
      <c r="C22" s="116" t="s">
        <v>293</v>
      </c>
      <c r="D22" s="116" t="s">
        <v>325</v>
      </c>
      <c r="E22" s="120" t="s">
        <v>286</v>
      </c>
      <c r="F22" s="116" t="s">
        <v>326</v>
      </c>
    </row>
    <row r="23" customFormat="false" ht="30" hidden="false" customHeight="true" outlineLevel="0" collapsed="false">
      <c r="A23" s="112" t="n">
        <v>19</v>
      </c>
      <c r="B23" s="113" t="s">
        <v>327</v>
      </c>
      <c r="C23" s="113" t="s">
        <v>328</v>
      </c>
      <c r="D23" s="113" t="s">
        <v>329</v>
      </c>
      <c r="E23" s="114" t="s">
        <v>263</v>
      </c>
      <c r="F23" s="113" t="s">
        <v>330</v>
      </c>
    </row>
    <row r="24" customFormat="false" ht="30" hidden="false" customHeight="true" outlineLevel="0" collapsed="false">
      <c r="A24" s="115" t="n">
        <v>20</v>
      </c>
      <c r="B24" s="116" t="s">
        <v>331</v>
      </c>
      <c r="C24" s="116" t="s">
        <v>332</v>
      </c>
      <c r="D24" s="116" t="s">
        <v>333</v>
      </c>
      <c r="E24" s="118" t="s">
        <v>282</v>
      </c>
      <c r="F24" s="116" t="s">
        <v>334</v>
      </c>
    </row>
    <row r="25" customFormat="false" ht="30" hidden="false" customHeight="true" outlineLevel="0" collapsed="false">
      <c r="A25" s="112" t="n">
        <v>21</v>
      </c>
      <c r="B25" s="113" t="s">
        <v>335</v>
      </c>
      <c r="C25" s="113" t="s">
        <v>336</v>
      </c>
      <c r="D25" s="113" t="s">
        <v>337</v>
      </c>
      <c r="E25" s="121" t="s">
        <v>282</v>
      </c>
      <c r="F25" s="113" t="s">
        <v>338</v>
      </c>
    </row>
    <row r="26" customFormat="false" ht="30" hidden="false" customHeight="true" outlineLevel="0" collapsed="false">
      <c r="A26" s="115" t="n">
        <v>22</v>
      </c>
      <c r="B26" s="116" t="s">
        <v>339</v>
      </c>
      <c r="C26" s="116" t="s">
        <v>340</v>
      </c>
      <c r="D26" s="116" t="s">
        <v>341</v>
      </c>
      <c r="E26" s="118" t="s">
        <v>282</v>
      </c>
      <c r="F26" s="116" t="s">
        <v>342</v>
      </c>
    </row>
    <row r="27" customFormat="false" ht="30" hidden="false" customHeight="true" outlineLevel="0" collapsed="false">
      <c r="A27" s="112" t="n">
        <v>23</v>
      </c>
      <c r="B27" s="113" t="s">
        <v>343</v>
      </c>
      <c r="C27" s="113" t="s">
        <v>344</v>
      </c>
      <c r="D27" s="113" t="s">
        <v>345</v>
      </c>
      <c r="E27" s="121" t="s">
        <v>282</v>
      </c>
      <c r="F27" s="113" t="s">
        <v>346</v>
      </c>
    </row>
    <row r="28" customFormat="false" ht="30" hidden="false" customHeight="true" outlineLevel="0" collapsed="false">
      <c r="A28" s="115" t="n">
        <v>24</v>
      </c>
      <c r="B28" s="116" t="s">
        <v>347</v>
      </c>
      <c r="C28" s="116" t="s">
        <v>348</v>
      </c>
      <c r="D28" s="116" t="s">
        <v>349</v>
      </c>
      <c r="E28" s="117" t="s">
        <v>263</v>
      </c>
      <c r="F28" s="116" t="s">
        <v>350</v>
      </c>
    </row>
    <row r="29" customFormat="false" ht="30" hidden="false" customHeight="true" outlineLevel="0" collapsed="false">
      <c r="A29" s="112" t="n">
        <v>25</v>
      </c>
      <c r="B29" s="113" t="s">
        <v>351</v>
      </c>
      <c r="C29" s="113" t="s">
        <v>236</v>
      </c>
      <c r="D29" s="113" t="s">
        <v>352</v>
      </c>
      <c r="E29" s="121" t="s">
        <v>282</v>
      </c>
      <c r="F29" s="113" t="s">
        <v>353</v>
      </c>
    </row>
    <row r="30" customFormat="false" ht="43.5" hidden="false" customHeight="true" outlineLevel="0" collapsed="false">
      <c r="A30" s="115" t="n">
        <v>26</v>
      </c>
      <c r="B30" s="116" t="s">
        <v>354</v>
      </c>
      <c r="C30" s="116" t="s">
        <v>355</v>
      </c>
      <c r="D30" s="116" t="s">
        <v>356</v>
      </c>
      <c r="E30" s="118" t="s">
        <v>282</v>
      </c>
      <c r="F30" s="116" t="s">
        <v>357</v>
      </c>
    </row>
    <row r="31" customFormat="false" ht="30" hidden="false" customHeight="true" outlineLevel="0" collapsed="false">
      <c r="A31" s="112" t="n">
        <v>27</v>
      </c>
      <c r="B31" s="113" t="s">
        <v>358</v>
      </c>
      <c r="C31" s="113" t="s">
        <v>359</v>
      </c>
      <c r="D31" s="113" t="s">
        <v>360</v>
      </c>
      <c r="E31" s="114" t="s">
        <v>263</v>
      </c>
      <c r="F31" s="113" t="s">
        <v>361</v>
      </c>
    </row>
    <row r="32" customFormat="false" ht="30" hidden="false" customHeight="true" outlineLevel="0" collapsed="false">
      <c r="A32" s="115" t="n">
        <v>28</v>
      </c>
      <c r="B32" s="116" t="s">
        <v>362</v>
      </c>
      <c r="C32" s="116" t="s">
        <v>245</v>
      </c>
      <c r="D32" s="116" t="s">
        <v>363</v>
      </c>
      <c r="E32" s="120" t="s">
        <v>286</v>
      </c>
      <c r="F32" s="116" t="s">
        <v>364</v>
      </c>
    </row>
    <row r="33" customFormat="false" ht="30" hidden="false" customHeight="true" outlineLevel="0" collapsed="false">
      <c r="A33" s="112" t="n">
        <v>29</v>
      </c>
      <c r="B33" s="113" t="s">
        <v>362</v>
      </c>
      <c r="C33" s="113" t="s">
        <v>365</v>
      </c>
      <c r="D33" s="113" t="s">
        <v>366</v>
      </c>
      <c r="E33" s="119" t="s">
        <v>286</v>
      </c>
      <c r="F33" s="113" t="s">
        <v>367</v>
      </c>
    </row>
    <row r="34" customFormat="false" ht="43.5" hidden="false" customHeight="true" outlineLevel="0" collapsed="false">
      <c r="A34" s="115" t="n">
        <v>30</v>
      </c>
      <c r="B34" s="116" t="s">
        <v>362</v>
      </c>
      <c r="C34" s="116" t="s">
        <v>368</v>
      </c>
      <c r="D34" s="116" t="s">
        <v>369</v>
      </c>
      <c r="E34" s="117" t="s">
        <v>263</v>
      </c>
      <c r="F34" s="116" t="s">
        <v>370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2026-10-12T23:16:33Z</dcterms:created>
  <dc:creator>openpyxl</dc:creator>
  <dc:description/>
  <dc:language>en-US</dc:language>
  <cp:lastModifiedBy/>
  <dcterms:modified xsi:type="dcterms:W3CDTF">2026-10-14T03:48:24Z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