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Instances" sheetId="2" state="visible" r:id="rId4"/>
    <sheet name="Operator ablation" sheetId="3" state="visible" r:id="rId5"/>
    <sheet name="Budget sweep" sheetId="4" state="visible" r:id="rId6"/>
    <sheet name="Notes and provenance" sheetId="5" state="visible" r:id="rId7"/>
  </sheets>
  <definedNames>
    <definedName function="false" hidden="false" localSheetId="0" name="_xlnm.Print_Titles" vbProcedure="false">Results!$4:$4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<sst xmlns="http://schemas.openxmlformats.org/spreadsheetml/2006/main" count="271" uniqueCount="214">
  <si>
    <t xml:space="preserve">SpOC-3 Torso Decompositions — computational results</t>
  </si>
  <si>
    <t xml:space="preserve">Prepared for</t>
  </si>
  <si>
    <t xml:space="preserve">AlbShkenca 2026</t>
  </si>
  <si>
    <t xml:space="preserve">Scores are negative hypervolume: lower is better. 1,200 s per instance per seed, 3 seeds, best of 3. Every figure is regenerated from harness/*.csv — see “Notes and provenance” for the source file behind each column.</t>
  </si>
  <si>
    <t xml:space="preserve">#</t>
  </si>
  <si>
    <t xml:space="preserve">Instance</t>
  </si>
  <si>
    <t xml:space="preserve">Provable ceiling</t>
  </si>
  <si>
    <t xml:space="preserve">fcmaes</t>
  </si>
  <si>
    <t xml:space="preserve">Team HRI</t>
  </si>
  <si>
    <t xml:space="preserve">Spacekangaroos</t>
  </si>
  <si>
    <t xml:space="preserve">Hill Climbing</t>
  </si>
  <si>
    <t xml:space="preserve">min-degree ×8</t>
  </si>
  <si>
    <t xml:space="preserve">Best in study</t>
  </si>
  <si>
    <t xml:space="preserve">Best method</t>
  </si>
  <si>
    <t xml:space="preserve">Margin over 2nd</t>
  </si>
  <si>
    <t xml:space="preserve">Verdict</t>
  </si>
  <si>
    <t xml:space="preserve">Gap to ceiling</t>
  </si>
  <si>
    <t xml:space="preserve">min-degree share</t>
  </si>
  <si>
    <t xml:space="preserve">ESA leaderboard</t>
  </si>
  <si>
    <t xml:space="preserve">Sparse grid-and-pendant graphs · n = 1,357 · 2,280–2,282 edges · tw ≥ 5 — ceiling nearly reached, no method separates</t>
  </si>
  <si>
    <t xml:space="preserve">small-graph</t>
  </si>
  <si>
    <t xml:space="preserve">synth-1</t>
  </si>
  <si>
    <t xml:space="preserve">n/a</t>
  </si>
  <si>
    <t xml:space="preserve">synth-2</t>
  </si>
  <si>
    <t xml:space="preserve">synth-3</t>
  </si>
  <si>
    <t xml:space="preserve">Rewired medium graphs · n = 1,399 · 13,799 edges · tw ≥ 63–73 — widest apparent gap, but the ceiling here is the loosest</t>
  </si>
  <si>
    <t xml:space="preserve">medium-graph</t>
  </si>
  <si>
    <t xml:space="preserve">synth-4</t>
  </si>
  <si>
    <t xml:space="preserve">synth-5</t>
  </si>
  <si>
    <t xml:space="preserve">Clique-pinned dense graphs · n = 2,426 · 253,895 edges · tw pinned to 499–500 — the only family with provably real headroom</t>
  </si>
  <si>
    <t xml:space="preserve">large-graph</t>
  </si>
  <si>
    <t xml:space="preserve">—</t>
  </si>
  <si>
    <t xml:space="preserve">synth-6</t>
  </si>
  <si>
    <t xml:space="preserve">synth-7</t>
  </si>
  <si>
    <t xml:space="preserve">Significance floor</t>
  </si>
  <si>
    <t xml:space="preserve">HV. The most the Hill Climbing baseline differs from an independent run of itself on a single instance (README §13.1). A margin smaller than this is a tie, not a win. Edit this cell and every Verdict re-decides.</t>
  </si>
  <si>
    <t xml:space="preserve">Rows won</t>
  </si>
  <si>
    <t xml:space="preserve">of 10</t>
  </si>
  <si>
    <t xml:space="preserve">across all 10 instances</t>
  </si>
  <si>
    <t xml:space="preserve">on rows that clear the floor</t>
  </si>
  <si>
    <t xml:space="preserve">instances it scored on at all</t>
  </si>
  <si>
    <t xml:space="preserve">— in a method column = ran the full 1,200 s and returned no feasible point, not a missing run. “Best in study” is the best of the five columns to its left; it is not the ESA leaderboard figure, which is in the last column and was set under a different protocol. Read “Notes and provenance” before quoting any row.</t>
  </si>
  <si>
    <t xml:space="preserve">The ten instances — size, structure, and how much room is left</t>
  </si>
  <si>
    <t xml:space="preserve">Within each family n and the edge count are identical and only the structure differs, so a ranking that changes between families is a statement about structure rather than size. “Provable ceiling” is bound.py --all: no submission can ever pass it.</t>
  </si>
  <si>
    <t xml:space="preserve">Family</t>
  </si>
  <si>
    <t xml:space="preserve">n</t>
  </si>
  <si>
    <t xml:space="preserve">Edges</t>
  </si>
  <si>
    <t xml:space="preserve">tw ≥</t>
  </si>
  <si>
    <t xml:space="preserve">Legal points from
a random ordering</t>
  </si>
  <si>
    <t xml:space="preserve">Legal points from
min-degree</t>
  </si>
  <si>
    <t xml:space="preserve">Origin</t>
  </si>
  <si>
    <t xml:space="preserve">Sparse</t>
  </si>
  <si>
    <t xml:space="preserve">ESA SpOC-3 official</t>
  </si>
  <si>
    <t xml:space="preserve">generate.py — 10×115 grid + 207 pendants, seed 1</t>
  </si>
  <si>
    <t xml:space="preserve">generate.py — same recipe, seed 2</t>
  </si>
  <si>
    <t xml:space="preserve">generate.py — same recipe, seed 3</t>
  </si>
  <si>
    <t xml:space="preserve">Rewired medium</t>
  </si>
  <si>
    <t xml:space="preserve">rewire of medium-graph, seed 1 (1.5% edge overlap)</t>
  </si>
  <si>
    <t xml:space="preserve">rewire of medium-graph, seed 2 (1.5% edge overlap)</t>
  </si>
  <si>
    <t xml:space="preserve">Clique-pinned</t>
  </si>
  <si>
    <t xml:space="preserve">ESA SpOC-3 official — planted 500-clique</t>
  </si>
  <si>
    <t xml:space="preserve">rewire of large-graph, seed 1 — cliques 500/400/300</t>
  </si>
  <si>
    <t xml:space="preserve">rewire of large-graph, seed 2 — cliques 500/400/300</t>
  </si>
  <si>
    <t xml:space="preserve">Reading the ceiling. A gap is two unknowns added together — how far the best result is from the optimum, plus how far the bound is from the optimum — and they cannot be separated. Where the gap is small both must be small, so the reading is definite: the sparse family is within ~1% of a provable ceiling and is effectively solved. Where it is wide, suspect the bound: on 1,399 vertices a treewidth lower bound of 72 subtracts only ~2,600 from 1,957,201, so the medium family's 14–20% is mostly slack in the bound. The three 2,426-vertex instances are the exception — their treewidth is pinned to 499 or 500, essentially known exactly, so their gap is real headroom. That is where a better construction pays, and where it is measured paying (README §15.3).</t>
  </si>
  <si>
    <t xml:space="preserve">Why the starting point is equalised. On six of the ten instances a random ordering yields no legal point at all — every prefix busts the 500-width cap — so a permutation-space solver starting there has nothing to climb and scores 0. Both permutation-space solvers therefore start from the same min-degree construction, computed fresh inside each run. The two weight-space solvers never see a random ordering: their first candidate is already sorted by a degree-and-spectral score (README §10.4).</t>
  </si>
  <si>
    <t xml:space="preserve">Operator ablation — seventeen move operators against the baseline's own noise</t>
  </si>
  <si>
    <t xml:space="preserve">Each row is hill climbing with its move pool restricted to one operator, 1,200 s × 3 seeds × 10 instances, best of 3, summed. Source: harness/ablation_more-*.csv via ablation_more.py.</t>
  </si>
  <si>
    <t xml:space="preserve">Baseline sample 1</t>
  </si>
  <si>
    <t xml:space="preserve">benchmark-hill_climbing.csv</t>
  </si>
  <si>
    <t xml:space="preserve">Baseline sample 2</t>
  </si>
  <si>
    <t xml:space="preserve">benchmark-hill_climbing-v2.csv — the sample this ablation was scored against</t>
  </si>
  <si>
    <t xml:space="preserve">Re-sample error</t>
  </si>
  <si>
    <t xml:space="preserve">the same method run twice. Any effect smaller than this is not established.</t>
  </si>
  <si>
    <t xml:space="preserve">Operator</t>
  </si>
  <si>
    <t xml:space="preserve">Total, 10 instances</t>
  </si>
  <si>
    <t xml:space="preserve">vs baseline
sample 2</t>
  </si>
  <si>
    <t xml:space="preserve">vs baseline
sample 1</t>
  </si>
  <si>
    <t xml:space="preserve">Sign flips</t>
  </si>
  <si>
    <t xml:space="preserve">Wins</t>
  </si>
  <si>
    <t xml:space="preserve">Ties</t>
  </si>
  <si>
    <t xml:space="preserve">Losses</t>
  </si>
  <si>
    <t xml:space="preserve">Accepted
moves</t>
  </si>
  <si>
    <t xml:space="preserve">× re-sample
error</t>
  </si>
  <si>
    <t xml:space="preserve">Note</t>
  </si>
  <si>
    <t xml:space="preserve">k_opt_aimed</t>
  </si>
  <si>
    <t xml:space="preserve">aimed</t>
  </si>
  <si>
    <t xml:space="preserve">the only variant that clears the floor anywhere — on synth-4 and synth-5</t>
  </si>
  <si>
    <t xml:space="preserve">three_opt</t>
  </si>
  <si>
    <t xml:space="preserve">k-opt</t>
  </si>
  <si>
    <t xml:space="preserve">corner_shuffle</t>
  </si>
  <si>
    <t xml:space="preserve">corner</t>
  </si>
  <si>
    <t xml:space="preserve">or_opt</t>
  </si>
  <si>
    <t xml:space="preserve">min_fill_aimed</t>
  </si>
  <si>
    <t xml:space="preserve">all 17, competing</t>
  </si>
  <si>
    <t xml:space="preserve">all</t>
  </si>
  <si>
    <t xml:space="preserve">the whole pool drawn uniformly</t>
  </si>
  <si>
    <t xml:space="preserve">simplicial_pull</t>
  </si>
  <si>
    <t xml:space="preserve">structure</t>
  </si>
  <si>
    <t xml:space="preserve">k_opt_rotate</t>
  </si>
  <si>
    <t xml:space="preserve">three_opt_aimed</t>
  </si>
  <si>
    <t xml:space="preserve">min_fill_window</t>
  </si>
  <si>
    <t xml:space="preserve">min-fill</t>
  </si>
  <si>
    <t xml:space="preserve">degeneracy_window</t>
  </si>
  <si>
    <t xml:space="preserve">degeneracy_aimed</t>
  </si>
  <si>
    <t xml:space="preserve">or_opt_aimed</t>
  </si>
  <si>
    <t xml:space="preserve">corner_earlier</t>
  </si>
  <si>
    <t xml:space="preserve">never fires: zero accepted moves in 30 runs</t>
  </si>
  <si>
    <t xml:space="preserve">What the table says. Thirteen of the fourteen variants do not separate from the baseline on a single instance: ten ties, no losses, no wins. The four that come out ahead of baseline sample 2 all come out behind baseline sample 1 — the Sign flips column — so their sign is a property of which run of the control was drawn, not of the operator. The largest effect in the table is 0.7× the amount the baseline differs from itself. An effect that changes sign when the control is re-drawn was never there.</t>
  </si>
  <si>
    <t xml:space="preserve">Wins, ties and losses count instances, not seeds: a win is an instance where the variant beats baseline sample 2 by at least the per-instance floor of 7,881 HV, a loss is the same margin the other way. Accepted moves are summed over all 30 runs — corner_earlier accepted nothing at all in 36,000 seconds of searching.</t>
  </si>
  <si>
    <t xml:space="preserve">Budget sweep — does more time let search catch the construction?</t>
  </si>
  <si>
    <t xml:space="preserve">Four arms × three budgets × ten instances × three seeds, best of 3, summed — all on one machine so budget is the only thing that varies. Three budgets rather than two, because two points cannot show the shape of the curve. Source: results/budget_sweep.csv via run_budget_sweep.sh and merge_budget_sweep.py.</t>
  </si>
  <si>
    <t xml:space="preserve">Arm</t>
  </si>
  <si>
    <t xml:space="preserve">Kind</t>
  </si>
  <si>
    <t xml:space="preserve">1,200 s</t>
  </si>
  <si>
    <t xml:space="preserve">3,600 s</t>
  </si>
  <si>
    <t xml:space="preserve">12,000 s</t>
  </si>
  <si>
    <t xml:space="preserve">Gained over
10× budget</t>
  </si>
  <si>
    <t xml:space="preserve">Behind construction
at 12,000 s</t>
  </si>
  <si>
    <t xml:space="preserve">What it is</t>
  </si>
  <si>
    <t xml:space="preserve">grasp_front</t>
  </si>
  <si>
    <t xml:space="preserve">construction</t>
  </si>
  <si>
    <t xml:space="preserve">the construction lever — what search has to catch</t>
  </si>
  <si>
    <t xml:space="preserve">hill_climbing</t>
  </si>
  <si>
    <t xml:space="preserve">search</t>
  </si>
  <si>
    <t xml:space="preserve">the published four-operator baseline</t>
  </si>
  <si>
    <t xml:space="preserve">all 17</t>
  </si>
  <si>
    <t xml:space="preserve">the seventeen-operator pool</t>
  </si>
  <si>
    <t xml:space="preserve">hc_bottleneck</t>
  </si>
  <si>
    <t xml:space="preserve">the move-pool lever</t>
  </si>
  <si>
    <t xml:space="preserve">How the construction's lead moves</t>
  </si>
  <si>
    <t xml:space="preserve">lead over</t>
  </si>
  <si>
    <t xml:space="preserve">closed</t>
  </si>
  <si>
    <t xml:space="preserve">% of lead</t>
  </si>
  <si>
    <t xml:space="preserve">What it answers. More time does help search — hill climbing gains 33,043 HV going from 1,200 s to 12,000 s, so a claim that extra budget buys nothing would be wrong. It does not help enough. At ten times the published budget the construction still leads the best search arm by 269,607 HV and the ranking does not flip. The lead is closing, by 31% over that 10×, and closing roughly in proportion to budget rather than to its logarithm — which means it would close eventually rather than never. Extrapolating the observed rate puts the crossover near thirty times the published budget, about ten hours per instance. That last sentence is an extrapolation from three points, not a measurement, and it is soft: grasp_front's own total moves by 89,534 HV across these budgets, a third of the gap it is being asked to defend, almost all of it on large-graph and synth-7.</t>
  </si>
  <si>
    <t xml:space="preserve">A second reading, which the Operator ablation sheet predicts. The seventeen-operator pool gains 5,558 HV over the same 10× against the four-operator baseline's 33,043, and goes from 1,883 HV ahead of that baseline at 1,200 s to 25,602 HV behind it at 12,000 s. More operators do not merely fail to help — given more budget to spend, they cost.</t>
  </si>
  <si>
    <t xml:space="preserve">Scores are negative hypervolume, so a more negative total is better and a positive “gained over 10× budget” means the arm got worse with more time.</t>
  </si>
  <si>
    <t xml:space="preserve">Notes and provenance</t>
  </si>
  <si>
    <t xml:space="preserve">Read this before quoting any row of Results. Everything below is traceable to a file in this repository; the rule the project keeps is that a number which does not appear in report.py's output does not belong in the sheet.</t>
  </si>
  <si>
    <t xml:space="preserve">Protocol</t>
  </si>
  <si>
    <t xml:space="preserve">1,200 s per instance per seed, 3 seeds, best of 3 reported. fcmaes, Team HRI, Hill Climbing and min-degree run on one CPU core each via harness/bench_one.py. Spacekangaroos is the real cuda-torso entry on a Kaggle NVIDIA T4 at batch 1,024, reduced to 512 at n = 2,426 so the two B×N×N bool tensors fit in GPU memory (harness/spoc3_benchmark.ipynb). Every result, whatever produced it, is re-scored and validated through the same esa_eval.py, so the columns are comparable.</t>
  </si>
  <si>
    <t xml:space="preserve">Equal wall-clock is not equal computation. The CPU process sat at about 929% — nine cores busy — while Hill Climbing is pure Python and uses exactly one. Measured on small-graph at 30 s, pinning to one core costs fast-cma-es 20% of its evaluations and gains Spacekangaroos 32% of its own (its inner loop is a 104×1,357 matrix-vector product, too small to parallelise, so the BLAS threads spin-wait). The benchmark lets every library thread as its authors intended. The direction of the bias matters: the handicap runs against Hill Climbing, so where it wins a row it wins on one core against opponents using nine (README §10.5).</t>
  </si>
  <si>
    <t xml:space="preserve">Where each column comes from</t>
  </si>
  <si>
    <t xml:space="preserve">Column</t>
  </si>
  <si>
    <t xml:space="preserve">Source file</t>
  </si>
  <si>
    <t xml:space="preserve">bound.py --all</t>
  </si>
  <si>
    <t xml:space="preserve">The most negative score any method could ever report, from tw(G) ≤ tw(torso(G,S)) + t with a cheap treewidth lower bound. Provable, deterministic, independent of every solver here.</t>
  </si>
  <si>
    <t xml:space="preserve">harness/benchmark-fast_cma_es.csv</t>
  </si>
  <si>
    <t xml:space="preserve">leaderboard-references/cmaes.py — separable CMA-ES over weight vectors, ported from the fast-cma-es approach. Best of seeds 1–3.</t>
  </si>
  <si>
    <t xml:space="preserve">harness/benchmark-hri.csv</t>
  </si>
  <si>
    <t xml:space="preserve">leaderboard-references/hri_lns.py — multi-objective LNS reimplemented from their paper; no source was published. Not their code. Best of seeds 1–3.</t>
  </si>
  <si>
    <t xml:space="preserve">harness/benchmark-spacekangaroos.csv</t>
  </si>
  <si>
    <t xml:space="preserve">The winning entry's own cuda-torso, run unmodified except for a 32-bit overflow fix in libeval.cu (adj_offset int → size_t) and the batch reduction above. Best of seeds 1–3.</t>
  </si>
  <si>
    <t xml:space="preserve">harness/benchmark-hill_climbing.csv</t>
  </si>
  <si>
    <t xml:space="preserve">hill_climbing.py, this study's method. A second independent full-budget sample is in benchmark-hill_climbing-v2.csv; the difference between the two is the significance floor below. Best of seeds 1–3.</t>
  </si>
  <si>
    <t xml:space="preserve">harness/benchmark-min_degree-x8.csv</t>
  </si>
  <si>
    <t xml:space="preserve">Best of eight greedy min-degree constructions with random tie-breaking, seeds 1–8 — what Hill Climbing builds before it searches. Tie-breaking is random, so the seed set is part of the result. Regenerate with harness/min_degree_x8.py.</t>
  </si>
  <si>
    <t xml:space="preserve">Best in study, Best method,
Margin, Verdict, Gap,
min-degree share</t>
  </si>
  <si>
    <t xml:space="preserve">— computed in-sheet</t>
  </si>
  <si>
    <t xml:space="preserve">Live formulas over the five method columns. Nothing is typed in; correct a method cell and all six re-derive.</t>
  </si>
  <si>
    <t xml:space="preserve">published ESA SpOC-3 leaderboard</t>
  </si>
  <si>
    <t xml:space="preserve">Top score on the official three instances only, set under the leaderboard's own protocol — not this benchmark's 1,200 s single-core budget, and not comparable to the columns to its left. The seven synthetic instances are new and have no leaderboard, which is why they read n/a. Kept in the sheet as an external reference point and nothing more.</t>
  </si>
  <si>
    <t xml:space="preserve">How big a difference has to be</t>
  </si>
  <si>
    <t xml:space="preserve">Hill Climbing was run twice at full budget — ten instances, three seeds, 1,200 s each, both times. The loop is bounded by wall-clock rather than by an iteration count, so the two runs are two independent samples of the same method rather than a repeat. That accident is the most useful measurement in the project, and it yields three different floors which are not interchangeable:</t>
  </si>
  <si>
    <t xml:space="preserve">Figure</t>
  </si>
  <si>
    <t xml:space="preserve">Value</t>
  </si>
  <si>
    <t xml:space="preserve">Use it against</t>
  </si>
  <si>
    <t xml:space="preserve">Median within-run seed spread</t>
  </si>
  <si>
    <t xml:space="preserve">1,528 HV</t>
  </si>
  <si>
    <t xml:space="preserve">Nothing. Two seeds inside one run share a machine, a thermal state and a session, so their agreement measures much less than it appears to. This chapter used to quote it and it was far too generous.</t>
  </si>
  <si>
    <t xml:space="preserve">Worst single instance moved,
between the two runs</t>
  </si>
  <si>
    <t xml:space="preserve">7,881 HV</t>
  </si>
  <si>
    <t xml:space="preserve">A single row's margin — the Verdict column on Results. This is the floor in use.</t>
  </si>
  <si>
    <t xml:space="preserve">Sum over all ten instances</t>
  </si>
  <si>
    <t xml:space="preserve">21,519 HV</t>
  </si>
  <si>
    <t xml:space="preserve">A quantity that is also a sum over ten instances, such as an ablation's net-HV column. Holding one row up against this inflates the floor by about the instance count and invents ties that are not there.</t>
  </si>
  <si>
    <t xml:space="preserve">Judged against 7,881 HV, five of the ten rows do not separate first place from second: small-graph (6,608), synth-1 (1,202), synth-2 (207), synth-3 (71) and synth-4 (6,012). The method named on those rows won by luck. Only medium-graph, large-graph, synth-5, synth-6 and synth-7 separate the methods by more than the reference method separates from itself — which is why the scoreboard under the table is reported twice, and why the second count is the one to quote.</t>
  </si>
  <si>
    <t xml:space="preserve">synth-3 is the clearest case. The 20-minute search reaches −1,819,944; eight min-degree constructions reach −1,819,873 in about two seconds. The search contributes 71 HV, or 0.004%. On the sparse family the bi-objective problem collapses in practice to minimising the width of the whole graph, because a single point at t = 0 carries 99.99% of the score on small-graph — so there is almost nothing left for any search to win there (README §15.4).</t>
  </si>
  <si>
    <t xml:space="preserve">What this table does not establish</t>
  </si>
  <si>
    <t xml:space="preserve">Three seeds per cell, scored best-of-three. min() over three samples is a biased estimator and the bias is not neutral between methods: it rewards whichever has the higher variance, because best-of-k climbs with spread. A method that is worse on average but noisier prints a better number here. Nothing in this sheet corrects for that.</t>
  </si>
  <si>
    <t xml:space="preserve">The floor is itself one sample — a single difference between two runs, not a distribution — so the true spread could be larger. It is used as a lower bound on the noise, the direction that makes the claims harder rather than easier.</t>
  </si>
  <si>
    <t xml:space="preserve">Runs are not reproducible, only re-samplable. The climb loop is wall-clock-bounded, so iteration counts differ between sessions and no run here can be reproduced exactly. An attempt to verify a run by re-running it mismatched on 29 of 30 rows, and the check, not the harness, was wrong.</t>
  </si>
  <si>
    <t xml:space="preserve">Ten instances, and the dense family is three variants of one graph. large-graph, synth-6 and synth-7 all carry a planted 500-clique, and that family is where every large margin in this table is made. Two of the three were generated to resemble the first, so they are not independently chosen. Any claim about dense instances rests on a thin base.</t>
  </si>
  <si>
    <t xml:space="preserve">Half the rows are ties. The Verdict column marks them and the second scoreboard line counts them; the table supports five findings, not ten.</t>
  </si>
  <si>
    <t xml:space="preserve">One budget per cell. Everything in Results is 1,200 s, and the construction is a one-off cost paid at the start while the search is what the remaining budget buys — so the ratio between them is a function of the budget. That is no longer an open question: the Budget sweep sheet measures it at 1,200 / 3,600 / 12,000 s and reports what it found.</t>
  </si>
  <si>
    <t xml:space="preserve">This revision</t>
  </si>
  <si>
    <t xml:space="preserve">Changed</t>
  </si>
  <si>
    <t xml:space="preserve">From</t>
  </si>
  <si>
    <t xml:space="preserve">To</t>
  </si>
  <si>
    <t xml:space="preserve">min-degree ×8 column</t>
  </si>
  <si>
    <t xml:space="preserve">no committed source file; 4 of 10 cells not reproducible</t>
  </si>
  <si>
    <t xml:space="preserve">harness/benchmark-min_degree-x8.csv + min_degree_x8.py, seeds 1–8. small-graph −1,813,181→−1,814,518 · medium-graph −1,615,495→−1,606,387 · synth-4 −1,553,005→−1,554,095 · synth-5 −1,560,655→−1,558,465. No winner and no verdict changes.</t>
  </si>
  <si>
    <t xml:space="preserve">2,470 HV, described as the median spread across seeds — a figure that appears in no source file</t>
  </si>
  <si>
    <t xml:space="preserve">7,881 HV, the per-instance between-run figure from README §13.1, in an editable cell that drives every Verdict.</t>
  </si>
  <si>
    <t xml:space="preserve">3 rows marked, by hand</t>
  </si>
  <si>
    <t xml:space="preserve">5 rows, decided by formula. synth-4 and small-graph were missing. synth-3's margin was given as 2,304 HV against Team HRI when second place is min-degree ×8.</t>
  </si>
  <si>
    <t xml:space="preserve">“Best Known”</t>
  </si>
  <si>
    <t xml:space="preserve">one column holding the ESA leaderboard top on three rows and the in-study best on seven — two different things under two different protocols</t>
  </si>
  <si>
    <t xml:space="preserve">split into Best in study (formula over the five method columns) and ESA leaderboard (external, official three instances only).</t>
  </si>
  <si>
    <t xml:space="preserve">“Gap from Best”</t>
  </si>
  <si>
    <t xml:space="preserve">labelled as the gap from best, but the formula read column I and so silently reported Hill Climbing's gap. Its reference column was empty, so it rendered blank throughout</t>
  </si>
  <si>
    <t xml:space="preserve">Gap to ceiling — best in study against the provable bound from bound.py. Plus min-degree share, which is the construction-versus-search comparison the write-up is about.</t>
  </si>
  <si>
    <t xml:space="preserve">Upper Bound column</t>
  </si>
  <si>
    <t xml:space="preserve">present and completely empty</t>
  </si>
  <si>
    <t xml:space="preserve">filled for all ten instances from bound.py --all, and the spine of the Instances sheet.</t>
  </si>
  <si>
    <t xml:space="preserve">Row order</t>
  </si>
  <si>
    <t xml:space="preserve">official three, then synth-1–7</t>
  </si>
  <si>
    <t xml:space="preserve">grouped into the three structural families, each a set of matched instances with identical n and edge count. The ranking changes between families; that is the result.</t>
  </si>
  <si>
    <t xml:space="preserve">Readability</t>
  </si>
  <si>
    <t xml:space="preserve">every data cell filled dark teal #356854 with theme-black text, header row unfilled; footnotes living inside the table body as instance rows 11–18; three Excel tables stretched over 290 empty rows; no frozen header</t>
  </si>
  <si>
    <t xml:space="preserve">dark band reserved for the header, light zebra body, winners highlighted, notes moved here, empty rows and the three empty columns removed, header frozen and set to repeat on every printed page.</t>
  </si>
  <si>
    <t xml:space="preserve">Workbook</t>
  </si>
  <si>
    <t xml:space="preserve">three sheets — AlbShkenca 2026, OLA2027, Evolutionary Intelligence Journ — holding the same ten rows and differing only in the name of an empty column</t>
  </si>
  <si>
    <t xml:space="preserve">one Results sheet, with Instances, Operator ablation, Budget sweep and this one behind it. The venue is the editable yellow cell at the top right of Results. Three copies of a table drift apart the first time a number is corrected.</t>
  </si>
  <si>
    <t xml:space="preserve">Verified against source: fcmaes, Team HRI, Spacekangaroos and Hill Climbing match best-of-3 over harness/*.csv exactly on all ten instances. The three em-dashes are Spacekangaroos runs that spent the full 1,201 s and returned no point under the 500-width cap; the harness distinguishes those from a crash and retries crashes, so they are a real “found nothing”.</t>
  </si>
</sst>
</file>

<file path=xl/styles.xml><?xml version="1.0" encoding="utf-8"?>
<styleSheet xmlns="http://schemas.openxmlformats.org/spreadsheetml/2006/main">
  <numFmts count="7">
    <numFmt numFmtId="164" formatCode="General"/>
    <numFmt numFmtId="165" formatCode="#,##0"/>
    <numFmt numFmtId="166" formatCode="0.00%"/>
    <numFmt numFmtId="167" formatCode="0.000%"/>
    <numFmt numFmtId="168" formatCode="\+#,##0;\-#,##0;0"/>
    <numFmt numFmtId="169" formatCode="0.0\×"/>
    <numFmt numFmtId="170" formatCode="0.0%"/>
  </numFmts>
  <fonts count="25">
    <font>
      <sz val="11"/>
      <color theme="1"/>
      <name val="Calibri"/>
      <family val="2"/>
      <charset val="1"/>
    </font>
    <font>
      <sz val="10"/>
      <name val="Arial"/>
      <family val="0"/>
    </font>
    <font>
      <sz val="10"/>
      <name val="Arial"/>
      <family val="0"/>
    </font>
    <font>
      <sz val="10"/>
      <name val="Arial"/>
      <family val="0"/>
    </font>
    <font>
      <b val="true"/>
      <sz val="15"/>
      <color rgb="FF356854"/>
      <name val="Arial"/>
      <family val="0"/>
      <charset val="1"/>
    </font>
    <font>
      <i val="true"/>
      <sz val="9"/>
      <color rgb="FF5F6F6A"/>
      <name val="Arial"/>
      <family val="0"/>
      <charset val="1"/>
    </font>
    <font>
      <b val="true"/>
      <sz val="10"/>
      <color rgb="FF0000CC"/>
      <name val="Arial"/>
      <family val="0"/>
      <charset val="1"/>
    </font>
    <font>
      <b val="true"/>
      <sz val="10"/>
      <color rgb="FFFFFFFF"/>
      <name val="Arial"/>
      <family val="0"/>
      <charset val="1"/>
    </font>
    <font>
      <b val="true"/>
      <sz val="9.5"/>
      <color rgb="FF356854"/>
      <name val="Arial"/>
      <family val="0"/>
      <charset val="1"/>
    </font>
    <font>
      <sz val="10"/>
      <color rgb="FF1C2B26"/>
      <name val="Arial"/>
      <family val="0"/>
      <charset val="1"/>
    </font>
    <font>
      <sz val="10"/>
      <color rgb="FF5F6F6A"/>
      <name val="Arial"/>
      <family val="0"/>
      <charset val="1"/>
    </font>
    <font>
      <b val="true"/>
      <sz val="10"/>
      <color rgb="FF356854"/>
      <name val="Arial"/>
      <family val="0"/>
      <charset val="1"/>
    </font>
    <font>
      <i val="true"/>
      <sz val="8.5"/>
      <color rgb="FF5F6F6A"/>
      <name val="Arial"/>
      <family val="0"/>
      <charset val="1"/>
    </font>
    <font>
      <b val="true"/>
      <sz val="9"/>
      <color rgb="FF356854"/>
      <name val="Arial"/>
      <family val="0"/>
      <charset val="1"/>
    </font>
    <font>
      <sz val="9"/>
      <color rgb="FF5F6F6A"/>
      <name val="Arial"/>
      <family val="0"/>
      <charset val="1"/>
    </font>
    <font>
      <b val="true"/>
      <sz val="10"/>
      <color rgb="FF1C2B26"/>
      <name val="Arial"/>
      <family val="0"/>
      <charset val="1"/>
    </font>
    <font>
      <b val="true"/>
      <sz val="14"/>
      <color rgb="FF356854"/>
      <name val="Arial"/>
      <family val="0"/>
      <charset val="1"/>
    </font>
    <font>
      <sz val="9"/>
      <color rgb="FF1C2B26"/>
      <name val="Arial"/>
      <family val="0"/>
      <charset val="1"/>
    </font>
    <font>
      <b val="true"/>
      <sz val="9.5"/>
      <color rgb="FFFFFFFF"/>
      <name val="Arial"/>
      <family val="0"/>
      <charset val="1"/>
    </font>
    <font>
      <sz val="9.5"/>
      <color rgb="FF1C2B26"/>
      <name val="Arial"/>
      <family val="0"/>
      <charset val="1"/>
    </font>
    <font>
      <sz val="9.5"/>
      <color rgb="FF5F6F6A"/>
      <name val="Arial"/>
      <family val="0"/>
      <charset val="1"/>
    </font>
    <font>
      <i val="true"/>
      <sz val="8.5"/>
      <color rgb="FF1C2B26"/>
      <name val="Arial"/>
      <family val="0"/>
      <charset val="1"/>
    </font>
    <font>
      <b val="true"/>
      <sz val="10.5"/>
      <color rgb="FFFFFFFF"/>
      <name val="Arial"/>
      <family val="0"/>
      <charset val="1"/>
    </font>
    <font>
      <i val="true"/>
      <sz val="9.5"/>
      <color rgb="FF5F6F6A"/>
      <name val="Arial"/>
      <family val="0"/>
      <charset val="1"/>
    </font>
    <font>
      <b val="true"/>
      <sz val="9"/>
      <color rgb="FF1C2B26"/>
      <name val="Arial"/>
      <family val="0"/>
      <charset val="1"/>
    </font>
  </fonts>
  <fills count="10">
    <fill>
      <patternFill patternType="none"/>
    </fill>
    <fill>
      <patternFill patternType="gray125"/>
    </fill>
    <fill>
      <patternFill patternType="solid">
        <fgColor rgb="FFFFF4CC"/>
        <bgColor rgb="FFF4F8F6"/>
      </patternFill>
    </fill>
    <fill>
      <patternFill patternType="solid">
        <fgColor rgb="FF356854"/>
        <bgColor rgb="FF5F6F6A"/>
      </patternFill>
    </fill>
    <fill>
      <patternFill patternType="solid">
        <fgColor rgb="FFE3EDE9"/>
        <bgColor rgb="FFEDF3F0"/>
      </patternFill>
    </fill>
    <fill>
      <patternFill patternType="solid">
        <fgColor rgb="FFFFFFFF"/>
        <bgColor rgb="FFF6FAF8"/>
      </patternFill>
    </fill>
    <fill>
      <patternFill patternType="solid">
        <fgColor rgb="FFD3E6DD"/>
        <bgColor rgb="FFE3EDE9"/>
      </patternFill>
    </fill>
    <fill>
      <patternFill patternType="solid">
        <fgColor rgb="FFF6FAF8"/>
        <bgColor rgb="FFF4F8F6"/>
      </patternFill>
    </fill>
    <fill>
      <patternFill patternType="solid">
        <fgColor rgb="FFF4F8F6"/>
        <bgColor rgb="FFF6FAF8"/>
      </patternFill>
    </fill>
    <fill>
      <patternFill patternType="solid">
        <fgColor rgb="FFEDF3F0"/>
        <bgColor rgb="FFF4F8F6"/>
      </patternFill>
    </fill>
  </fills>
  <borders count="13">
    <border diagonalUp="false" diagonalDown="false">
      <left/>
      <right/>
      <top/>
      <bottom/>
      <diagonal/>
    </border>
    <border diagonalUp="false" diagonalDown="false">
      <left style="thin">
        <color rgb="FFBFD2CA"/>
      </left>
      <right/>
      <top style="thin">
        <color rgb="FFBFD2CA"/>
      </top>
      <bottom style="thin">
        <color rgb="FFBFD2CA"/>
      </bottom>
      <diagonal/>
    </border>
    <border diagonalUp="false" diagonalDown="false">
      <left style="thin">
        <color rgb="FFBFD2CA"/>
      </left>
      <right style="thin">
        <color rgb="FFBFD2CA"/>
      </right>
      <top style="medium">
        <color rgb="FF356854"/>
      </top>
      <bottom style="medium">
        <color rgb="FF356854"/>
      </bottom>
      <diagonal/>
    </border>
    <border diagonalUp="false" diagonalDown="false">
      <left style="medium">
        <color rgb="FF356854"/>
      </left>
      <right style="medium">
        <color rgb="FF356854"/>
      </right>
      <top style="thin">
        <color rgb="FFBFD2CA"/>
      </top>
      <bottom style="thin">
        <color rgb="FFBFD2CA"/>
      </bottom>
      <diagonal/>
    </border>
    <border diagonalUp="false" diagonalDown="false">
      <left style="medium">
        <color rgb="FF356854"/>
      </left>
      <right style="thin">
        <color rgb="FFBFD2CA"/>
      </right>
      <top style="thin">
        <color rgb="FFBFD2CA"/>
      </top>
      <bottom style="thin">
        <color rgb="FFBFD2CA"/>
      </bottom>
      <diagonal/>
    </border>
    <border diagonalUp="false" diagonalDown="false">
      <left style="thin">
        <color rgb="FFBFD2CA"/>
      </left>
      <right style="thin">
        <color rgb="FFBFD2CA"/>
      </right>
      <top style="thin">
        <color rgb="FFBFD2CA"/>
      </top>
      <bottom style="thin">
        <color rgb="FFBFD2CA"/>
      </bottom>
      <diagonal/>
    </border>
    <border diagonalUp="false" diagonalDown="false">
      <left style="thin">
        <color rgb="FFBFD2CA"/>
      </left>
      <right style="medium">
        <color rgb="FF356854"/>
      </right>
      <top style="thin">
        <color rgb="FFBFD2CA"/>
      </top>
      <bottom style="thin">
        <color rgb="FFBFD2CA"/>
      </bottom>
      <diagonal/>
    </border>
    <border diagonalUp="false" diagonalDown="false">
      <left style="medium">
        <color rgb="FF356854"/>
      </left>
      <right style="thin">
        <color rgb="FFBFD2CA"/>
      </right>
      <top style="thin">
        <color rgb="FFBFD2CA"/>
      </top>
      <bottom style="medium">
        <color rgb="FF356854"/>
      </bottom>
      <diagonal/>
    </border>
    <border diagonalUp="false" diagonalDown="false">
      <left style="thin">
        <color rgb="FFBFD2CA"/>
      </left>
      <right style="thin">
        <color rgb="FFBFD2CA"/>
      </right>
      <top style="thin">
        <color rgb="FFBFD2CA"/>
      </top>
      <bottom style="medium">
        <color rgb="FF356854"/>
      </bottom>
      <diagonal/>
    </border>
    <border diagonalUp="false" diagonalDown="false">
      <left style="thin">
        <color rgb="FFBFD2CA"/>
      </left>
      <right style="medium">
        <color rgb="FF356854"/>
      </right>
      <top style="thin">
        <color rgb="FFBFD2CA"/>
      </top>
      <bottom style="medium">
        <color rgb="FF356854"/>
      </bottom>
      <diagonal/>
    </border>
    <border diagonalUp="false" diagonalDown="false">
      <left style="thin">
        <color rgb="FFBFD2CA"/>
      </left>
      <right style="thin">
        <color rgb="FFBFD2CA"/>
      </right>
      <top/>
      <bottom style="thin">
        <color rgb="FFBFD2CA"/>
      </bottom>
      <diagonal/>
    </border>
    <border diagonalUp="false" diagonalDown="false">
      <left style="thin">
        <color rgb="FFBFD2CA"/>
      </left>
      <right style="thin">
        <color rgb="FFBFD2CA"/>
      </right>
      <top/>
      <bottom style="medium">
        <color rgb="FF356854"/>
      </bottom>
      <diagonal/>
    </border>
    <border diagonalUp="false" diagonalDown="false">
      <left/>
      <right/>
      <top/>
      <bottom style="thin">
        <color rgb="FFBFD2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9" fillId="5" borderId="4" xfId="0" applyFont="true" applyBorder="true" applyAlignment="true" applyProtection="false">
      <alignment horizontal="center" vertical="center" textRotation="0" wrapText="false" indent="0" shrinkToFit="false"/>
      <protection locked="true" hidden="false"/>
    </xf>
    <xf numFmtId="164" fontId="9" fillId="5" borderId="5" xfId="0" applyFont="true" applyBorder="true" applyAlignment="true" applyProtection="false">
      <alignment horizontal="left" vertical="center" textRotation="0" wrapText="false" indent="1" shrinkToFit="false"/>
      <protection locked="true" hidden="false"/>
    </xf>
    <xf numFmtId="165" fontId="10" fillId="5" borderId="5" xfId="0" applyFont="true" applyBorder="true" applyAlignment="true" applyProtection="false">
      <alignment horizontal="right" vertical="center" textRotation="0" wrapText="false" indent="1" shrinkToFit="false"/>
      <protection locked="true" hidden="false"/>
    </xf>
    <xf numFmtId="165" fontId="9" fillId="5" borderId="5" xfId="0" applyFont="true" applyBorder="true" applyAlignment="true" applyProtection="false">
      <alignment horizontal="right" vertical="center" textRotation="0" wrapText="false" indent="1" shrinkToFit="false"/>
      <protection locked="true" hidden="false"/>
    </xf>
    <xf numFmtId="165" fontId="11" fillId="6" borderId="5" xfId="0" applyFont="true" applyBorder="true" applyAlignment="true" applyProtection="false">
      <alignment horizontal="right" vertical="center" textRotation="0" wrapText="false" indent="1" shrinkToFit="false"/>
      <protection locked="true" hidden="false"/>
    </xf>
    <xf numFmtId="165" fontId="9" fillId="7" borderId="5" xfId="0" applyFont="true" applyBorder="true" applyAlignment="true" applyProtection="false">
      <alignment horizontal="right" vertical="center" textRotation="0" wrapText="false" indent="1" shrinkToFit="false"/>
      <protection locked="true" hidden="false"/>
    </xf>
    <xf numFmtId="164" fontId="9" fillId="5" borderId="5" xfId="0" applyFont="true" applyBorder="true" applyAlignment="true" applyProtection="false">
      <alignment horizontal="center" vertical="center" textRotation="0" wrapText="false" indent="0" shrinkToFit="false"/>
      <protection locked="true" hidden="false"/>
    </xf>
    <xf numFmtId="166" fontId="9" fillId="5" borderId="5" xfId="0" applyFont="true" applyBorder="true" applyAlignment="true" applyProtection="false">
      <alignment horizontal="right" vertical="center" textRotation="0" wrapText="false" indent="1" shrinkToFit="false"/>
      <protection locked="true" hidden="false"/>
    </xf>
    <xf numFmtId="167" fontId="9" fillId="5" borderId="5" xfId="0" applyFont="true" applyBorder="true" applyAlignment="true" applyProtection="false">
      <alignment horizontal="right" vertical="center" textRotation="0" wrapText="false" indent="1" shrinkToFit="false"/>
      <protection locked="true" hidden="false"/>
    </xf>
    <xf numFmtId="165" fontId="10" fillId="5" borderId="6" xfId="0" applyFont="true" applyBorder="true" applyAlignment="true" applyProtection="false">
      <alignment horizontal="right" vertical="center" textRotation="0" wrapText="false" indent="1" shrinkToFit="false"/>
      <protection locked="true" hidden="false"/>
    </xf>
    <xf numFmtId="164" fontId="9" fillId="8" borderId="4" xfId="0" applyFont="true" applyBorder="true" applyAlignment="true" applyProtection="false">
      <alignment horizontal="center" vertical="center" textRotation="0" wrapText="false" indent="0" shrinkToFit="false"/>
      <protection locked="true" hidden="false"/>
    </xf>
    <xf numFmtId="164" fontId="9" fillId="8" borderId="5" xfId="0" applyFont="true" applyBorder="true" applyAlignment="true" applyProtection="false">
      <alignment horizontal="left" vertical="center" textRotation="0" wrapText="false" indent="1" shrinkToFit="false"/>
      <protection locked="true" hidden="false"/>
    </xf>
    <xf numFmtId="165" fontId="10" fillId="8" borderId="5" xfId="0" applyFont="true" applyBorder="true" applyAlignment="true" applyProtection="false">
      <alignment horizontal="right" vertical="center" textRotation="0" wrapText="false" indent="1" shrinkToFit="false"/>
      <protection locked="true" hidden="false"/>
    </xf>
    <xf numFmtId="165" fontId="9" fillId="8" borderId="5" xfId="0" applyFont="true" applyBorder="true" applyAlignment="true" applyProtection="false">
      <alignment horizontal="right" vertical="center" textRotation="0" wrapText="false" indent="1" shrinkToFit="false"/>
      <protection locked="true" hidden="false"/>
    </xf>
    <xf numFmtId="165" fontId="9" fillId="9" borderId="5" xfId="0" applyFont="true" applyBorder="true" applyAlignment="true" applyProtection="false">
      <alignment horizontal="right" vertical="center" textRotation="0" wrapText="false" indent="1" shrinkToFit="false"/>
      <protection locked="true" hidden="false"/>
    </xf>
    <xf numFmtId="164" fontId="9" fillId="8" borderId="5" xfId="0" applyFont="true" applyBorder="true" applyAlignment="true" applyProtection="false">
      <alignment horizontal="center" vertical="center" textRotation="0" wrapText="false" indent="0" shrinkToFit="false"/>
      <protection locked="true" hidden="false"/>
    </xf>
    <xf numFmtId="166" fontId="9" fillId="8" borderId="5" xfId="0" applyFont="true" applyBorder="true" applyAlignment="true" applyProtection="false">
      <alignment horizontal="right" vertical="center" textRotation="0" wrapText="false" indent="1" shrinkToFit="false"/>
      <protection locked="true" hidden="false"/>
    </xf>
    <xf numFmtId="167" fontId="9" fillId="8" borderId="5" xfId="0" applyFont="true" applyBorder="true" applyAlignment="true" applyProtection="false">
      <alignment horizontal="right" vertical="center" textRotation="0" wrapText="false" indent="1" shrinkToFit="false"/>
      <protection locked="true" hidden="false"/>
    </xf>
    <xf numFmtId="165" fontId="10" fillId="8" borderId="6" xfId="0" applyFont="true" applyBorder="true" applyAlignment="true" applyProtection="false">
      <alignment horizontal="right" vertical="center" textRotation="0" wrapText="false" indent="1" shrinkToFit="false"/>
      <protection locked="true" hidden="false"/>
    </xf>
    <xf numFmtId="165" fontId="10" fillId="8" borderId="5" xfId="0" applyFont="true" applyBorder="true" applyAlignment="true" applyProtection="false">
      <alignment horizontal="center" vertical="center" textRotation="0" wrapText="false" indent="0" shrinkToFit="false"/>
      <protection locked="true" hidden="false"/>
    </xf>
    <xf numFmtId="165" fontId="10" fillId="5" borderId="5" xfId="0" applyFont="true" applyBorder="true" applyAlignment="true" applyProtection="false">
      <alignment horizontal="center" vertical="center" textRotation="0" wrapText="false" indent="0" shrinkToFit="false"/>
      <protection locked="true" hidden="false"/>
    </xf>
    <xf numFmtId="164" fontId="9" fillId="8" borderId="7" xfId="0" applyFont="true" applyBorder="true" applyAlignment="true" applyProtection="false">
      <alignment horizontal="center" vertical="center" textRotation="0" wrapText="false" indent="0" shrinkToFit="false"/>
      <protection locked="true" hidden="false"/>
    </xf>
    <xf numFmtId="164" fontId="9" fillId="8" borderId="8" xfId="0" applyFont="true" applyBorder="true" applyAlignment="true" applyProtection="false">
      <alignment horizontal="left" vertical="center" textRotation="0" wrapText="false" indent="1" shrinkToFit="false"/>
      <protection locked="true" hidden="false"/>
    </xf>
    <xf numFmtId="165" fontId="10" fillId="8" borderId="8" xfId="0" applyFont="true" applyBorder="true" applyAlignment="true" applyProtection="false">
      <alignment horizontal="right" vertical="center" textRotation="0" wrapText="false" indent="1" shrinkToFit="false"/>
      <protection locked="true" hidden="false"/>
    </xf>
    <xf numFmtId="165" fontId="11" fillId="6" borderId="8" xfId="0" applyFont="true" applyBorder="true" applyAlignment="true" applyProtection="false">
      <alignment horizontal="right" vertical="center" textRotation="0" wrapText="false" indent="1" shrinkToFit="false"/>
      <protection locked="true" hidden="false"/>
    </xf>
    <xf numFmtId="165" fontId="9" fillId="8" borderId="8" xfId="0" applyFont="true" applyBorder="true" applyAlignment="true" applyProtection="false">
      <alignment horizontal="right" vertical="center" textRotation="0" wrapText="false" indent="1" shrinkToFit="false"/>
      <protection locked="true" hidden="false"/>
    </xf>
    <xf numFmtId="165" fontId="10" fillId="8" borderId="8" xfId="0" applyFont="true" applyBorder="true" applyAlignment="true" applyProtection="false">
      <alignment horizontal="center" vertical="center" textRotation="0" wrapText="false" indent="0" shrinkToFit="false"/>
      <protection locked="true" hidden="false"/>
    </xf>
    <xf numFmtId="165" fontId="9" fillId="9" borderId="8" xfId="0" applyFont="true" applyBorder="true" applyAlignment="true" applyProtection="false">
      <alignment horizontal="right" vertical="center" textRotation="0" wrapText="false" indent="1" shrinkToFit="false"/>
      <protection locked="true" hidden="false"/>
    </xf>
    <xf numFmtId="164" fontId="9" fillId="8" borderId="8" xfId="0" applyFont="true" applyBorder="true" applyAlignment="true" applyProtection="false">
      <alignment horizontal="center" vertical="center" textRotation="0" wrapText="false" indent="0" shrinkToFit="false"/>
      <protection locked="true" hidden="false"/>
    </xf>
    <xf numFmtId="166" fontId="9" fillId="8" borderId="8" xfId="0" applyFont="true" applyBorder="true" applyAlignment="true" applyProtection="false">
      <alignment horizontal="right" vertical="center" textRotation="0" wrapText="false" indent="1" shrinkToFit="false"/>
      <protection locked="true" hidden="false"/>
    </xf>
    <xf numFmtId="167" fontId="9" fillId="8" borderId="8" xfId="0" applyFont="true" applyBorder="true" applyAlignment="true" applyProtection="false">
      <alignment horizontal="right" vertical="center" textRotation="0" wrapText="false" indent="1" shrinkToFit="false"/>
      <protection locked="true" hidden="false"/>
    </xf>
    <xf numFmtId="165" fontId="10" fillId="8" borderId="9" xfId="0" applyFont="true" applyBorder="true" applyAlignment="true" applyProtection="false">
      <alignment horizontal="right" vertical="center" textRotation="0" wrapText="false" indent="1" shrinkToFit="false"/>
      <protection locked="true" hidden="false"/>
    </xf>
    <xf numFmtId="164" fontId="8" fillId="0" borderId="0" xfId="0" applyFont="true" applyBorder="true" applyAlignment="true" applyProtection="false">
      <alignment horizontal="right" vertical="center" textRotation="0" wrapText="false" indent="1" shrinkToFit="false"/>
      <protection locked="true" hidden="false"/>
    </xf>
    <xf numFmtId="165" fontId="6" fillId="2" borderId="5" xfId="0" applyFont="true" applyBorder="true" applyAlignment="true" applyProtection="false">
      <alignment horizontal="right" vertical="center" textRotation="0" wrapText="false" indent="1"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right" vertical="center" textRotation="0" wrapText="false" indent="1"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right" vertical="center" textRotation="0" wrapText="false" indent="1"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5" fillId="8" borderId="10" xfId="0" applyFont="true" applyBorder="true" applyAlignment="true" applyProtection="false">
      <alignment horizontal="center" vertical="center" textRotation="0" wrapText="false" indent="0" shrinkToFit="false"/>
      <protection locked="true" hidden="false"/>
    </xf>
    <xf numFmtId="164" fontId="9" fillId="5"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14" fillId="5" borderId="6" xfId="0" applyFont="true" applyBorder="true" applyAlignment="true" applyProtection="false">
      <alignment horizontal="left" vertical="center" textRotation="0" wrapText="false" indent="1" shrinkToFit="false"/>
      <protection locked="true" hidden="false"/>
    </xf>
    <xf numFmtId="164" fontId="14" fillId="8" borderId="6" xfId="0" applyFont="true" applyBorder="true" applyAlignment="true" applyProtection="false">
      <alignment horizontal="left" vertical="center" textRotation="0" wrapText="false" indent="1" shrinkToFit="false"/>
      <protection locked="true" hidden="false"/>
    </xf>
    <xf numFmtId="164" fontId="14" fillId="8" borderId="9" xfId="0" applyFont="true" applyBorder="true" applyAlignment="true" applyProtection="false">
      <alignment horizontal="left" vertical="center" textRotation="0" wrapText="false" indent="1"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5" fontId="11" fillId="8" borderId="5" xfId="0" applyFont="true" applyBorder="true" applyAlignment="true" applyProtection="false">
      <alignment horizontal="right" vertical="center" textRotation="0" wrapText="false" indent="1" shrinkToFit="false"/>
      <protection locked="true" hidden="false"/>
    </xf>
    <xf numFmtId="164" fontId="18" fillId="3" borderId="2" xfId="0" applyFont="true" applyBorder="true" applyAlignment="true" applyProtection="false">
      <alignment horizontal="center" vertical="center" textRotation="0" wrapText="true" indent="0" shrinkToFit="false"/>
      <protection locked="true" hidden="false"/>
    </xf>
    <xf numFmtId="164" fontId="19" fillId="5" borderId="4" xfId="0" applyFont="true" applyBorder="true" applyAlignment="true" applyProtection="false">
      <alignment horizontal="center" vertical="center" textRotation="0" wrapText="false" indent="0" shrinkToFit="false"/>
      <protection locked="true" hidden="false"/>
    </xf>
    <xf numFmtId="164" fontId="19" fillId="5" borderId="5" xfId="0" applyFont="true" applyBorder="true" applyAlignment="true" applyProtection="false">
      <alignment horizontal="left" vertical="center" textRotation="0" wrapText="false" indent="1" shrinkToFit="false"/>
      <protection locked="true" hidden="false"/>
    </xf>
    <xf numFmtId="164" fontId="20" fillId="5" borderId="5" xfId="0" applyFont="true" applyBorder="true" applyAlignment="true" applyProtection="false">
      <alignment horizontal="left" vertical="center" textRotation="0" wrapText="false" indent="1" shrinkToFit="false"/>
      <protection locked="true" hidden="false"/>
    </xf>
    <xf numFmtId="165" fontId="19" fillId="5" borderId="5" xfId="0" applyFont="true" applyBorder="true" applyAlignment="true" applyProtection="false">
      <alignment horizontal="right" vertical="center" textRotation="0" wrapText="false" indent="1" shrinkToFit="false"/>
      <protection locked="true" hidden="false"/>
    </xf>
    <xf numFmtId="168" fontId="19" fillId="5" borderId="5" xfId="0" applyFont="true" applyBorder="true" applyAlignment="true" applyProtection="false">
      <alignment horizontal="right" vertical="center" textRotation="0" wrapText="false" indent="1" shrinkToFit="false"/>
      <protection locked="true" hidden="false"/>
    </xf>
    <xf numFmtId="164" fontId="19" fillId="5" borderId="5" xfId="0" applyFont="true" applyBorder="true" applyAlignment="true" applyProtection="false">
      <alignment horizontal="center" vertical="center" textRotation="0" wrapText="false" indent="0" shrinkToFit="false"/>
      <protection locked="true" hidden="false"/>
    </xf>
    <xf numFmtId="169" fontId="19" fillId="5" borderId="5" xfId="0" applyFont="true" applyBorder="true" applyAlignment="true" applyProtection="false">
      <alignment horizontal="right" vertical="center" textRotation="0" wrapText="false" indent="1" shrinkToFit="false"/>
      <protection locked="true" hidden="false"/>
    </xf>
    <xf numFmtId="164" fontId="12" fillId="5" borderId="6" xfId="0" applyFont="true" applyBorder="true" applyAlignment="true" applyProtection="false">
      <alignment horizontal="left" vertical="center" textRotation="0" wrapText="false" indent="1" shrinkToFit="false"/>
      <protection locked="true" hidden="false"/>
    </xf>
    <xf numFmtId="164" fontId="19" fillId="8" borderId="4" xfId="0" applyFont="true" applyBorder="true" applyAlignment="true" applyProtection="false">
      <alignment horizontal="center" vertical="center" textRotation="0" wrapText="false" indent="0" shrinkToFit="false"/>
      <protection locked="true" hidden="false"/>
    </xf>
    <xf numFmtId="164" fontId="19" fillId="8" borderId="5" xfId="0" applyFont="true" applyBorder="true" applyAlignment="true" applyProtection="false">
      <alignment horizontal="left" vertical="center" textRotation="0" wrapText="false" indent="1" shrinkToFit="false"/>
      <protection locked="true" hidden="false"/>
    </xf>
    <xf numFmtId="164" fontId="20" fillId="8" borderId="5" xfId="0" applyFont="true" applyBorder="true" applyAlignment="true" applyProtection="false">
      <alignment horizontal="left" vertical="center" textRotation="0" wrapText="false" indent="1" shrinkToFit="false"/>
      <protection locked="true" hidden="false"/>
    </xf>
    <xf numFmtId="165" fontId="19" fillId="8" borderId="5" xfId="0" applyFont="true" applyBorder="true" applyAlignment="true" applyProtection="false">
      <alignment horizontal="right" vertical="center" textRotation="0" wrapText="false" indent="1" shrinkToFit="false"/>
      <protection locked="true" hidden="false"/>
    </xf>
    <xf numFmtId="168" fontId="19" fillId="8" borderId="5" xfId="0" applyFont="true" applyBorder="true" applyAlignment="true" applyProtection="false">
      <alignment horizontal="right" vertical="center" textRotation="0" wrapText="false" indent="1" shrinkToFit="false"/>
      <protection locked="true" hidden="false"/>
    </xf>
    <xf numFmtId="164" fontId="19" fillId="8" borderId="5" xfId="0" applyFont="true" applyBorder="true" applyAlignment="true" applyProtection="false">
      <alignment horizontal="center" vertical="center" textRotation="0" wrapText="false" indent="0" shrinkToFit="false"/>
      <protection locked="true" hidden="false"/>
    </xf>
    <xf numFmtId="169" fontId="19" fillId="8" borderId="5" xfId="0" applyFont="true" applyBorder="true" applyAlignment="true" applyProtection="false">
      <alignment horizontal="right" vertical="center" textRotation="0" wrapText="false" indent="1" shrinkToFit="false"/>
      <protection locked="true" hidden="false"/>
    </xf>
    <xf numFmtId="164" fontId="12" fillId="8" borderId="6" xfId="0" applyFont="true" applyBorder="true" applyAlignment="true" applyProtection="false">
      <alignment horizontal="left" vertical="center" textRotation="0" wrapText="false" indent="1" shrinkToFit="false"/>
      <protection locked="true" hidden="false"/>
    </xf>
    <xf numFmtId="164" fontId="19" fillId="8" borderId="7" xfId="0" applyFont="true" applyBorder="true" applyAlignment="true" applyProtection="false">
      <alignment horizontal="center" vertical="center" textRotation="0" wrapText="false" indent="0" shrinkToFit="false"/>
      <protection locked="true" hidden="false"/>
    </xf>
    <xf numFmtId="164" fontId="19" fillId="8" borderId="8" xfId="0" applyFont="true" applyBorder="true" applyAlignment="true" applyProtection="false">
      <alignment horizontal="left" vertical="center" textRotation="0" wrapText="false" indent="1" shrinkToFit="false"/>
      <protection locked="true" hidden="false"/>
    </xf>
    <xf numFmtId="164" fontId="20" fillId="8" borderId="8" xfId="0" applyFont="true" applyBorder="true" applyAlignment="true" applyProtection="false">
      <alignment horizontal="left" vertical="center" textRotation="0" wrapText="false" indent="1" shrinkToFit="false"/>
      <protection locked="true" hidden="false"/>
    </xf>
    <xf numFmtId="165" fontId="19" fillId="8" borderId="8" xfId="0" applyFont="true" applyBorder="true" applyAlignment="true" applyProtection="false">
      <alignment horizontal="right" vertical="center" textRotation="0" wrapText="false" indent="1" shrinkToFit="false"/>
      <protection locked="true" hidden="false"/>
    </xf>
    <xf numFmtId="168" fontId="19" fillId="8" borderId="8" xfId="0" applyFont="true" applyBorder="true" applyAlignment="true" applyProtection="false">
      <alignment horizontal="right" vertical="center" textRotation="0" wrapText="false" indent="1" shrinkToFit="false"/>
      <protection locked="true" hidden="false"/>
    </xf>
    <xf numFmtId="164" fontId="19" fillId="8" borderId="8" xfId="0" applyFont="true" applyBorder="true" applyAlignment="true" applyProtection="false">
      <alignment horizontal="center" vertical="center" textRotation="0" wrapText="false" indent="0" shrinkToFit="false"/>
      <protection locked="true" hidden="false"/>
    </xf>
    <xf numFmtId="169" fontId="19" fillId="8" borderId="8" xfId="0" applyFont="true" applyBorder="true" applyAlignment="true" applyProtection="false">
      <alignment horizontal="right" vertical="center" textRotation="0" wrapText="false" indent="1" shrinkToFit="false"/>
      <protection locked="true" hidden="false"/>
    </xf>
    <xf numFmtId="164" fontId="12" fillId="8" borderId="9" xfId="0" applyFont="true" applyBorder="true" applyAlignment="true" applyProtection="false">
      <alignment horizontal="left" vertical="center" textRotation="0" wrapText="false" indent="1" shrinkToFit="false"/>
      <protection locked="true" hidden="false"/>
    </xf>
    <xf numFmtId="164" fontId="19" fillId="6" borderId="4" xfId="0" applyFont="true" applyBorder="true" applyAlignment="true" applyProtection="false">
      <alignment horizontal="left" vertical="center" textRotation="0" wrapText="false" indent="1" shrinkToFit="false"/>
      <protection locked="true" hidden="false"/>
    </xf>
    <xf numFmtId="164" fontId="19" fillId="6" borderId="5" xfId="0" applyFont="true" applyBorder="true" applyAlignment="true" applyProtection="false">
      <alignment horizontal="left" vertical="center" textRotation="0" wrapText="false" indent="1" shrinkToFit="false"/>
      <protection locked="true" hidden="false"/>
    </xf>
    <xf numFmtId="165" fontId="19" fillId="6" borderId="5" xfId="0" applyFont="true" applyBorder="true" applyAlignment="true" applyProtection="false">
      <alignment horizontal="right" vertical="center" textRotation="0" wrapText="false" indent="1" shrinkToFit="false"/>
      <protection locked="true" hidden="false"/>
    </xf>
    <xf numFmtId="168" fontId="19" fillId="6" borderId="5" xfId="0" applyFont="true" applyBorder="true" applyAlignment="true" applyProtection="false">
      <alignment horizontal="right" vertical="center" textRotation="0" wrapText="false" indent="1" shrinkToFit="false"/>
      <protection locked="true" hidden="false"/>
    </xf>
    <xf numFmtId="164" fontId="21" fillId="6" borderId="6" xfId="0" applyFont="true" applyBorder="true" applyAlignment="true" applyProtection="false">
      <alignment horizontal="left" vertical="center" textRotation="0" wrapText="false" indent="1" shrinkToFit="false"/>
      <protection locked="true" hidden="false"/>
    </xf>
    <xf numFmtId="164" fontId="19" fillId="8" borderId="4" xfId="0" applyFont="true" applyBorder="true" applyAlignment="true" applyProtection="false">
      <alignment horizontal="left" vertical="center" textRotation="0" wrapText="false" indent="1" shrinkToFit="false"/>
      <protection locked="true" hidden="false"/>
    </xf>
    <xf numFmtId="164" fontId="19" fillId="5" borderId="4" xfId="0" applyFont="true" applyBorder="true" applyAlignment="true" applyProtection="false">
      <alignment horizontal="left" vertical="center" textRotation="0" wrapText="false" indent="1" shrinkToFit="false"/>
      <protection locked="true" hidden="false"/>
    </xf>
    <xf numFmtId="164" fontId="19" fillId="8" borderId="7" xfId="0" applyFont="true" applyBorder="true" applyAlignment="true" applyProtection="false">
      <alignment horizontal="left" vertical="center" textRotation="0" wrapText="false" indent="1" shrinkToFit="false"/>
      <protection locked="true" hidden="false"/>
    </xf>
    <xf numFmtId="164" fontId="22" fillId="3" borderId="0" xfId="0" applyFont="true" applyBorder="true" applyAlignment="true" applyProtection="false">
      <alignment horizontal="left" vertical="center" textRotation="0" wrapText="false" indent="1" shrinkToFit="false"/>
      <protection locked="true" hidden="false"/>
    </xf>
    <xf numFmtId="164" fontId="13" fillId="0" borderId="12" xfId="0" applyFont="true" applyBorder="true" applyAlignment="true" applyProtection="false">
      <alignment horizontal="left" vertical="center" textRotation="0" wrapText="false" indent="1" shrinkToFit="false"/>
      <protection locked="true" hidden="false"/>
    </xf>
    <xf numFmtId="164" fontId="13" fillId="0" borderId="12" xfId="0" applyFont="true" applyBorder="true" applyAlignment="true" applyProtection="false">
      <alignment horizontal="right" vertical="center" textRotation="0" wrapText="false" indent="1" shrinkToFit="false"/>
      <protection locked="true" hidden="false"/>
    </xf>
    <xf numFmtId="164" fontId="19" fillId="0" borderId="0" xfId="0" applyFont="true" applyBorder="false" applyAlignment="true" applyProtection="false">
      <alignment horizontal="left" vertical="center" textRotation="0" wrapText="false" indent="1" shrinkToFit="false"/>
      <protection locked="true" hidden="false"/>
    </xf>
    <xf numFmtId="165" fontId="19" fillId="0" borderId="0" xfId="0" applyFont="true" applyBorder="false" applyAlignment="true" applyProtection="false">
      <alignment horizontal="right" vertical="center" textRotation="0" wrapText="false" indent="1" shrinkToFit="false"/>
      <protection locked="true" hidden="false"/>
    </xf>
    <xf numFmtId="170" fontId="19" fillId="0" borderId="0" xfId="0" applyFont="true" applyBorder="false" applyAlignment="true" applyProtection="false">
      <alignment horizontal="right" vertical="center" textRotation="0" wrapText="false" indent="1" shrinkToFit="false"/>
      <protection locked="true" hidden="false"/>
    </xf>
    <xf numFmtId="164" fontId="19" fillId="0" borderId="0" xfId="0" applyFont="true" applyBorder="false" applyAlignment="true" applyProtection="false">
      <alignment horizontal="right" vertical="center" textRotation="0" wrapText="false" indent="1" shrinkToFit="false"/>
      <protection locked="true" hidden="false"/>
    </xf>
    <xf numFmtId="164" fontId="23" fillId="0" borderId="0" xfId="0" applyFont="true" applyBorder="true" applyAlignment="true" applyProtection="false">
      <alignment horizontal="left" vertical="top" textRotation="0" wrapText="tru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xf numFmtId="164" fontId="18" fillId="3" borderId="5" xfId="0" applyFont="true" applyBorder="true" applyAlignment="true" applyProtection="false">
      <alignment horizontal="left" vertical="top" textRotation="0" wrapText="true" indent="1" shrinkToFit="false"/>
      <protection locked="true" hidden="false"/>
    </xf>
    <xf numFmtId="164" fontId="24" fillId="8" borderId="5" xfId="0" applyFont="true" applyBorder="true" applyAlignment="true" applyProtection="false">
      <alignment horizontal="left" vertical="top" textRotation="0" wrapText="true" indent="1" shrinkToFit="false"/>
      <protection locked="true" hidden="false"/>
    </xf>
    <xf numFmtId="164" fontId="17" fillId="8" borderId="5" xfId="0" applyFont="true" applyBorder="true" applyAlignment="true" applyProtection="false">
      <alignment horizontal="left" vertical="top" textRotation="0" wrapText="true" indent="1" shrinkToFit="false"/>
      <protection locked="true" hidden="false"/>
    </xf>
    <xf numFmtId="164" fontId="24" fillId="5" borderId="5" xfId="0" applyFont="true" applyBorder="true" applyAlignment="true" applyProtection="false">
      <alignment horizontal="left" vertical="top" textRotation="0" wrapText="true" indent="1" shrinkToFit="false"/>
      <protection locked="true" hidden="false"/>
    </xf>
    <xf numFmtId="164" fontId="17" fillId="5" borderId="5"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356854"/>
      <rgbColor rgb="FFBFD2CA"/>
      <rgbColor rgb="FF808080"/>
      <rgbColor rgb="FF9999FF"/>
      <rgbColor rgb="FF993366"/>
      <rgbColor rgb="FFFFF4CC"/>
      <rgbColor rgb="FFE3EDE9"/>
      <rgbColor rgb="FF660066"/>
      <rgbColor rgb="FFFF8080"/>
      <rgbColor rgb="FF0066CC"/>
      <rgbColor rgb="FFF6FAF8"/>
      <rgbColor rgb="FF000080"/>
      <rgbColor rgb="FFFF00FF"/>
      <rgbColor rgb="FFFFFF00"/>
      <rgbColor rgb="FF00FFFF"/>
      <rgbColor rgb="FF800080"/>
      <rgbColor rgb="FF800000"/>
      <rgbColor rgb="FF008080"/>
      <rgbColor rgb="FF0000FF"/>
      <rgbColor rgb="FF00CCFF"/>
      <rgbColor rgb="FFEDF3F0"/>
      <rgbColor rgb="FFD3E6DD"/>
      <rgbColor rgb="FFF4F8F6"/>
      <rgbColor rgb="FF99CCFF"/>
      <rgbColor rgb="FFFF99CC"/>
      <rgbColor rgb="FFCC99FF"/>
      <rgbColor rgb="FFFFCC99"/>
      <rgbColor rgb="FF3366FF"/>
      <rgbColor rgb="FF33CCCC"/>
      <rgbColor rgb="FF99CC00"/>
      <rgbColor rgb="FFFFCC00"/>
      <rgbColor rgb="FFFF9900"/>
      <rgbColor rgb="FFFF6600"/>
      <rgbColor rgb="FF5F6F6A"/>
      <rgbColor rgb="FF969696"/>
      <rgbColor rgb="FF003366"/>
      <rgbColor rgb="FF339966"/>
      <rgbColor rgb="FF003300"/>
      <rgbColor rgb="FF333300"/>
      <rgbColor rgb="FF993300"/>
      <rgbColor rgb="FF993366"/>
      <rgbColor rgb="FF333399"/>
      <rgbColor rgb="FF1C2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O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51"/>
    <col collapsed="false" customWidth="true" hidden="false" outlineLevel="0" max="2" min="2" style="0" width="14.51"/>
    <col collapsed="false" customWidth="true" hidden="false" outlineLevel="0" max="3" min="3" style="0" width="15.51"/>
    <col collapsed="false" customWidth="true" hidden="false" outlineLevel="0" max="5" min="4" style="0" width="13.5"/>
    <col collapsed="false" customWidth="true" hidden="false" outlineLevel="0" max="6" min="6" style="0" width="15.51"/>
    <col collapsed="false" customWidth="true" hidden="false" outlineLevel="0" max="7" min="7" style="0" width="13.5"/>
    <col collapsed="false" customWidth="true" hidden="false" outlineLevel="0" max="9" min="8" style="0" width="14.51"/>
    <col collapsed="false" customWidth="true" hidden="false" outlineLevel="0" max="10" min="10" style="0" width="19"/>
    <col collapsed="false" customWidth="true" hidden="false" outlineLevel="0" max="11" min="11" style="0" width="15.51"/>
    <col collapsed="false" customWidth="true" hidden="false" outlineLevel="0" max="12" min="12" style="0" width="11.5"/>
    <col collapsed="false" customWidth="true" hidden="false" outlineLevel="0" max="13" min="13" style="0" width="14"/>
    <col collapsed="false" customWidth="true" hidden="false" outlineLevel="0" max="14" min="14" style="0" width="16"/>
    <col collapsed="false" customWidth="true" hidden="false" outlineLevel="0" max="15" min="15" style="0" width="15.51"/>
  </cols>
  <sheetData>
    <row r="1" customFormat="false" ht="25.5" hidden="false" customHeight="true" outlineLevel="0" collapsed="false">
      <c r="A1" s="1" t="s">
        <v>0</v>
      </c>
      <c r="B1" s="1"/>
      <c r="C1" s="1"/>
      <c r="D1" s="1"/>
      <c r="E1" s="1"/>
      <c r="F1" s="1"/>
      <c r="G1" s="1"/>
      <c r="H1" s="1"/>
      <c r="I1" s="1"/>
      <c r="J1" s="2" t="s">
        <v>1</v>
      </c>
      <c r="K1" s="3" t="s">
        <v>2</v>
      </c>
      <c r="L1" s="3"/>
      <c r="M1" s="3"/>
      <c r="N1" s="3"/>
      <c r="O1" s="3"/>
    </row>
    <row r="2" customFormat="false" ht="27.75" hidden="false" customHeight="true" outlineLevel="0" collapsed="false">
      <c r="A2" s="4" t="s">
        <v>3</v>
      </c>
      <c r="B2" s="4"/>
      <c r="C2" s="4"/>
      <c r="D2" s="4"/>
      <c r="E2" s="4"/>
      <c r="F2" s="4"/>
      <c r="G2" s="4"/>
      <c r="H2" s="4"/>
      <c r="I2" s="4"/>
      <c r="J2" s="4"/>
      <c r="K2" s="4"/>
      <c r="L2" s="4"/>
      <c r="M2" s="4"/>
      <c r="N2" s="4"/>
      <c r="O2" s="4"/>
    </row>
    <row r="3" customFormat="false" ht="6.75" hidden="false" customHeight="true" outlineLevel="0" collapsed="false"/>
    <row r="4" customFormat="false" ht="31.5" hidden="false" customHeight="true" outlineLevel="0" collapsed="false">
      <c r="A4" s="5" t="s">
        <v>4</v>
      </c>
      <c r="B4" s="5" t="s">
        <v>5</v>
      </c>
      <c r="C4" s="5" t="s">
        <v>6</v>
      </c>
      <c r="D4" s="5" t="s">
        <v>7</v>
      </c>
      <c r="E4" s="5" t="s">
        <v>8</v>
      </c>
      <c r="F4" s="5" t="s">
        <v>9</v>
      </c>
      <c r="G4" s="5" t="s">
        <v>10</v>
      </c>
      <c r="H4" s="5" t="s">
        <v>11</v>
      </c>
      <c r="I4" s="5" t="s">
        <v>12</v>
      </c>
      <c r="J4" s="5" t="s">
        <v>13</v>
      </c>
      <c r="K4" s="5" t="s">
        <v>14</v>
      </c>
      <c r="L4" s="5" t="s">
        <v>15</v>
      </c>
      <c r="M4" s="5" t="s">
        <v>16</v>
      </c>
      <c r="N4" s="5" t="s">
        <v>17</v>
      </c>
      <c r="O4" s="5" t="s">
        <v>18</v>
      </c>
    </row>
    <row r="5" customFormat="false" ht="18.75" hidden="false" customHeight="true" outlineLevel="0" collapsed="false">
      <c r="A5" s="6" t="s">
        <v>19</v>
      </c>
      <c r="B5" s="6"/>
      <c r="C5" s="6"/>
      <c r="D5" s="6"/>
      <c r="E5" s="6"/>
      <c r="F5" s="6"/>
      <c r="G5" s="6"/>
      <c r="H5" s="6"/>
      <c r="I5" s="6"/>
      <c r="J5" s="6"/>
      <c r="K5" s="6"/>
      <c r="L5" s="6"/>
      <c r="M5" s="6"/>
      <c r="N5" s="6"/>
      <c r="O5" s="6"/>
    </row>
    <row r="6" customFormat="false" ht="19.5" hidden="false" customHeight="true" outlineLevel="0" collapsed="false">
      <c r="A6" s="7" t="n">
        <v>1</v>
      </c>
      <c r="B6" s="8" t="s">
        <v>20</v>
      </c>
      <c r="C6" s="9" t="n">
        <v>-1841434</v>
      </c>
      <c r="D6" s="10" t="n">
        <v>-1808034</v>
      </c>
      <c r="E6" s="10" t="n">
        <v>-1820882</v>
      </c>
      <c r="F6" s="11" t="n">
        <v>-1827490</v>
      </c>
      <c r="G6" s="10" t="n">
        <v>-1815437</v>
      </c>
      <c r="H6" s="10" t="n">
        <v>-1814518</v>
      </c>
      <c r="I6" s="12" t="n">
        <f aca="false">MIN(D6:H6)</f>
        <v>-1827490</v>
      </c>
      <c r="J6" s="8" t="str">
        <f aca="false">INDEX($D$4:$H$4,MATCH(I6,D6:H6,0))</f>
        <v>Spacekangaroos</v>
      </c>
      <c r="K6" s="10" t="n">
        <f aca="false">SMALL(D6:H6,2)-I6</f>
        <v>6608</v>
      </c>
      <c r="L6" s="13" t="str">
        <f aca="false">IF(K6&gt;=$C$19,"separates","tie")</f>
        <v>tie</v>
      </c>
      <c r="M6" s="14" t="n">
        <f aca="false">(C6-I6)/C6</f>
        <v>0.00757235936775361</v>
      </c>
      <c r="N6" s="15" t="n">
        <f aca="false">H6/I6</f>
        <v>0.992901739544402</v>
      </c>
      <c r="O6" s="16" t="n">
        <v>-1829919</v>
      </c>
    </row>
    <row r="7" customFormat="false" ht="19.5" hidden="false" customHeight="true" outlineLevel="0" collapsed="false">
      <c r="A7" s="17" t="n">
        <v>2</v>
      </c>
      <c r="B7" s="18" t="s">
        <v>21</v>
      </c>
      <c r="C7" s="19" t="n">
        <v>-1841434</v>
      </c>
      <c r="D7" s="20" t="n">
        <v>-1804510</v>
      </c>
      <c r="E7" s="20" t="n">
        <v>-1818732</v>
      </c>
      <c r="F7" s="20" t="n">
        <v>-1816878</v>
      </c>
      <c r="G7" s="11" t="n">
        <v>-1819934</v>
      </c>
      <c r="H7" s="20" t="n">
        <v>-1818533</v>
      </c>
      <c r="I7" s="21" t="n">
        <f aca="false">MIN(D7:H7)</f>
        <v>-1819934</v>
      </c>
      <c r="J7" s="18" t="str">
        <f aca="false">INDEX($D$4:$H$4,MATCH(I7,D7:H7,0))</f>
        <v>Hill Climbing</v>
      </c>
      <c r="K7" s="20" t="n">
        <f aca="false">SMALL(D7:H7,2)-I7</f>
        <v>1202</v>
      </c>
      <c r="L7" s="22" t="str">
        <f aca="false">IF(K7&gt;=$C$19,"separates","tie")</f>
        <v>tie</v>
      </c>
      <c r="M7" s="23" t="n">
        <f aca="false">(C7-I7)/C7</f>
        <v>0.0116756831903831</v>
      </c>
      <c r="N7" s="24" t="n">
        <f aca="false">H7/I7</f>
        <v>0.999230191864101</v>
      </c>
      <c r="O7" s="25" t="s">
        <v>22</v>
      </c>
    </row>
    <row r="8" customFormat="false" ht="19.5" hidden="false" customHeight="true" outlineLevel="0" collapsed="false">
      <c r="A8" s="7" t="n">
        <v>3</v>
      </c>
      <c r="B8" s="8" t="s">
        <v>23</v>
      </c>
      <c r="C8" s="9" t="n">
        <v>-1841434</v>
      </c>
      <c r="D8" s="10" t="n">
        <v>-1803847</v>
      </c>
      <c r="E8" s="11" t="n">
        <v>-1820165</v>
      </c>
      <c r="F8" s="10" t="n">
        <v>-1817483</v>
      </c>
      <c r="G8" s="10" t="n">
        <v>-1819958</v>
      </c>
      <c r="H8" s="10" t="n">
        <v>-1819873</v>
      </c>
      <c r="I8" s="12" t="n">
        <f aca="false">MIN(D8:H8)</f>
        <v>-1820165</v>
      </c>
      <c r="J8" s="8" t="str">
        <f aca="false">INDEX($D$4:$H$4,MATCH(I8,D8:H8,0))</f>
        <v>Team HRI</v>
      </c>
      <c r="K8" s="10" t="n">
        <f aca="false">SMALL(D8:H8,2)-I8</f>
        <v>207</v>
      </c>
      <c r="L8" s="13" t="str">
        <f aca="false">IF(K8&gt;=$C$19,"separates","tie")</f>
        <v>tie</v>
      </c>
      <c r="M8" s="14" t="n">
        <f aca="false">(C8-I8)/C8</f>
        <v>0.0115502374779655</v>
      </c>
      <c r="N8" s="15" t="n">
        <f aca="false">H8/I8</f>
        <v>0.999839574983587</v>
      </c>
      <c r="O8" s="16" t="s">
        <v>22</v>
      </c>
    </row>
    <row r="9" customFormat="false" ht="19.5" hidden="false" customHeight="true" outlineLevel="0" collapsed="false">
      <c r="A9" s="17" t="n">
        <v>4</v>
      </c>
      <c r="B9" s="18" t="s">
        <v>24</v>
      </c>
      <c r="C9" s="19" t="n">
        <v>-1841434</v>
      </c>
      <c r="D9" s="20" t="n">
        <v>-1804390</v>
      </c>
      <c r="E9" s="20" t="n">
        <v>-1817640</v>
      </c>
      <c r="F9" s="20" t="n">
        <v>-1816534</v>
      </c>
      <c r="G9" s="11" t="n">
        <v>-1819944</v>
      </c>
      <c r="H9" s="20" t="n">
        <v>-1819873</v>
      </c>
      <c r="I9" s="21" t="n">
        <f aca="false">MIN(D9:H9)</f>
        <v>-1819944</v>
      </c>
      <c r="J9" s="18" t="str">
        <f aca="false">INDEX($D$4:$H$4,MATCH(I9,D9:H9,0))</f>
        <v>Hill Climbing</v>
      </c>
      <c r="K9" s="20" t="n">
        <f aca="false">SMALL(D9:H9,2)-I9</f>
        <v>71</v>
      </c>
      <c r="L9" s="22" t="str">
        <f aca="false">IF(K9&gt;=$C$19,"separates","tie")</f>
        <v>tie</v>
      </c>
      <c r="M9" s="23" t="n">
        <f aca="false">(C9-I9)/C9</f>
        <v>0.011670252640062</v>
      </c>
      <c r="N9" s="24" t="n">
        <f aca="false">H9/I9</f>
        <v>0.999960987810614</v>
      </c>
      <c r="O9" s="25" t="s">
        <v>22</v>
      </c>
    </row>
    <row r="10" customFormat="false" ht="18.75" hidden="false" customHeight="true" outlineLevel="0" collapsed="false">
      <c r="A10" s="6" t="s">
        <v>25</v>
      </c>
      <c r="B10" s="6"/>
      <c r="C10" s="6"/>
      <c r="D10" s="6"/>
      <c r="E10" s="6"/>
      <c r="F10" s="6"/>
      <c r="G10" s="6"/>
      <c r="H10" s="6"/>
      <c r="I10" s="6"/>
      <c r="J10" s="6"/>
      <c r="K10" s="6"/>
      <c r="L10" s="6"/>
      <c r="M10" s="6"/>
      <c r="N10" s="6"/>
      <c r="O10" s="6"/>
    </row>
    <row r="11" customFormat="false" ht="19.5" hidden="false" customHeight="true" outlineLevel="0" collapsed="false">
      <c r="A11" s="7" t="n">
        <v>5</v>
      </c>
      <c r="B11" s="8" t="s">
        <v>26</v>
      </c>
      <c r="C11" s="9" t="n">
        <v>-1955110</v>
      </c>
      <c r="D11" s="10" t="n">
        <v>-1663147</v>
      </c>
      <c r="E11" s="11" t="n">
        <v>-1682428</v>
      </c>
      <c r="F11" s="10" t="n">
        <v>-1566543</v>
      </c>
      <c r="G11" s="10" t="n">
        <v>-1615216</v>
      </c>
      <c r="H11" s="10" t="n">
        <v>-1606387</v>
      </c>
      <c r="I11" s="12" t="n">
        <f aca="false">MIN(D11:H11)</f>
        <v>-1682428</v>
      </c>
      <c r="J11" s="8" t="str">
        <f aca="false">INDEX($D$4:$H$4,MATCH(I11,D11:H11,0))</f>
        <v>Team HRI</v>
      </c>
      <c r="K11" s="10" t="n">
        <f aca="false">SMALL(D11:H11,2)-I11</f>
        <v>19281</v>
      </c>
      <c r="L11" s="13" t="str">
        <f aca="false">IF(K11&gt;=$C$19,"separates","tie")</f>
        <v>separates</v>
      </c>
      <c r="M11" s="14" t="n">
        <f aca="false">(C11-I11)/C11</f>
        <v>0.139471436389768</v>
      </c>
      <c r="N11" s="15" t="n">
        <f aca="false">H11/I11</f>
        <v>0.954802820685343</v>
      </c>
      <c r="O11" s="16" t="n">
        <v>-1745122</v>
      </c>
    </row>
    <row r="12" customFormat="false" ht="19.5" hidden="false" customHeight="true" outlineLevel="0" collapsed="false">
      <c r="A12" s="17" t="n">
        <v>6</v>
      </c>
      <c r="B12" s="18" t="s">
        <v>27</v>
      </c>
      <c r="C12" s="19" t="n">
        <v>-1954471</v>
      </c>
      <c r="D12" s="20" t="n">
        <v>-1586305</v>
      </c>
      <c r="E12" s="11" t="n">
        <v>-1592317</v>
      </c>
      <c r="F12" s="20" t="n">
        <v>-1483952</v>
      </c>
      <c r="G12" s="20" t="n">
        <v>-1564037</v>
      </c>
      <c r="H12" s="20" t="n">
        <v>-1554095</v>
      </c>
      <c r="I12" s="21" t="n">
        <f aca="false">MIN(D12:H12)</f>
        <v>-1592317</v>
      </c>
      <c r="J12" s="18" t="str">
        <f aca="false">INDEX($D$4:$H$4,MATCH(I12,D12:H12,0))</f>
        <v>Team HRI</v>
      </c>
      <c r="K12" s="20" t="n">
        <f aca="false">SMALL(D12:H12,2)-I12</f>
        <v>6012</v>
      </c>
      <c r="L12" s="22" t="str">
        <f aca="false">IF(K12&gt;=$C$19,"separates","tie")</f>
        <v>tie</v>
      </c>
      <c r="M12" s="23" t="n">
        <f aca="false">(C12-I12)/C12</f>
        <v>0.18529515147577</v>
      </c>
      <c r="N12" s="24" t="n">
        <f aca="false">H12/I12</f>
        <v>0.975995985723948</v>
      </c>
      <c r="O12" s="25" t="s">
        <v>22</v>
      </c>
    </row>
    <row r="13" customFormat="false" ht="19.5" hidden="false" customHeight="true" outlineLevel="0" collapsed="false">
      <c r="A13" s="7" t="n">
        <v>7</v>
      </c>
      <c r="B13" s="8" t="s">
        <v>28</v>
      </c>
      <c r="C13" s="9" t="n">
        <v>-1954395</v>
      </c>
      <c r="D13" s="10" t="n">
        <v>-1582930</v>
      </c>
      <c r="E13" s="11" t="n">
        <v>-1597450</v>
      </c>
      <c r="F13" s="10" t="n">
        <v>-1473387</v>
      </c>
      <c r="G13" s="10" t="n">
        <v>-1562142</v>
      </c>
      <c r="H13" s="10" t="n">
        <v>-1558465</v>
      </c>
      <c r="I13" s="12" t="n">
        <f aca="false">MIN(D13:H13)</f>
        <v>-1597450</v>
      </c>
      <c r="J13" s="8" t="str">
        <f aca="false">INDEX($D$4:$H$4,MATCH(I13,D13:H13,0))</f>
        <v>Team HRI</v>
      </c>
      <c r="K13" s="10" t="n">
        <f aca="false">SMALL(D13:H13,2)-I13</f>
        <v>14520</v>
      </c>
      <c r="L13" s="13" t="str">
        <f aca="false">IF(K13&gt;=$C$19,"separates","tie")</f>
        <v>separates</v>
      </c>
      <c r="M13" s="14" t="n">
        <f aca="false">(C13-I13)/C13</f>
        <v>0.182637082063759</v>
      </c>
      <c r="N13" s="15" t="n">
        <f aca="false">H13/I13</f>
        <v>0.975595480296723</v>
      </c>
      <c r="O13" s="16" t="s">
        <v>22</v>
      </c>
    </row>
    <row r="14" customFormat="false" ht="18.75" hidden="false" customHeight="true" outlineLevel="0" collapsed="false">
      <c r="A14" s="6" t="s">
        <v>29</v>
      </c>
      <c r="B14" s="6"/>
      <c r="C14" s="6"/>
      <c r="D14" s="6"/>
      <c r="E14" s="6"/>
      <c r="F14" s="6"/>
      <c r="G14" s="6"/>
      <c r="H14" s="6"/>
      <c r="I14" s="6"/>
      <c r="J14" s="6"/>
      <c r="K14" s="6"/>
      <c r="L14" s="6"/>
      <c r="M14" s="6"/>
      <c r="N14" s="6"/>
      <c r="O14" s="6"/>
    </row>
    <row r="15" customFormat="false" ht="19.5" hidden="false" customHeight="true" outlineLevel="0" collapsed="false">
      <c r="A15" s="17" t="n">
        <v>8</v>
      </c>
      <c r="B15" s="18" t="s">
        <v>30</v>
      </c>
      <c r="C15" s="19" t="n">
        <v>-5754421</v>
      </c>
      <c r="D15" s="11" t="n">
        <v>-5329389</v>
      </c>
      <c r="E15" s="20" t="n">
        <v>-4836783</v>
      </c>
      <c r="F15" s="26" t="s">
        <v>31</v>
      </c>
      <c r="G15" s="20" t="n">
        <v>-4804444</v>
      </c>
      <c r="H15" s="20" t="n">
        <v>-4793652</v>
      </c>
      <c r="I15" s="21" t="n">
        <f aca="false">MIN(D15:H15)</f>
        <v>-5329389</v>
      </c>
      <c r="J15" s="18" t="str">
        <f aca="false">INDEX($D$4:$H$4,MATCH(I15,D15:H15,0))</f>
        <v>fcmaes</v>
      </c>
      <c r="K15" s="20" t="n">
        <f aca="false">SMALL(D15:H15,2)-I15</f>
        <v>492606</v>
      </c>
      <c r="L15" s="22" t="str">
        <f aca="false">IF(K15&gt;=$C$19,"separates","tie")</f>
        <v>separates</v>
      </c>
      <c r="M15" s="23" t="n">
        <f aca="false">(C15-I15)/C15</f>
        <v>0.0738618185913057</v>
      </c>
      <c r="N15" s="24" t="n">
        <f aca="false">H15/I15</f>
        <v>0.899474967955989</v>
      </c>
      <c r="O15" s="25" t="n">
        <v>-5493062</v>
      </c>
    </row>
    <row r="16" customFormat="false" ht="19.5" hidden="false" customHeight="true" outlineLevel="0" collapsed="false">
      <c r="A16" s="7" t="n">
        <v>9</v>
      </c>
      <c r="B16" s="8" t="s">
        <v>32</v>
      </c>
      <c r="C16" s="9" t="n">
        <v>-5754421</v>
      </c>
      <c r="D16" s="11" t="n">
        <v>-5167178</v>
      </c>
      <c r="E16" s="10" t="n">
        <v>-4797902</v>
      </c>
      <c r="F16" s="27" t="s">
        <v>31</v>
      </c>
      <c r="G16" s="10" t="n">
        <v>-4795615</v>
      </c>
      <c r="H16" s="10" t="n">
        <v>-4793652</v>
      </c>
      <c r="I16" s="12" t="n">
        <f aca="false">MIN(D16:H16)</f>
        <v>-5167178</v>
      </c>
      <c r="J16" s="8" t="str">
        <f aca="false">INDEX($D$4:$H$4,MATCH(I16,D16:H16,0))</f>
        <v>fcmaes</v>
      </c>
      <c r="K16" s="10" t="n">
        <f aca="false">SMALL(D16:H16,2)-I16</f>
        <v>369276</v>
      </c>
      <c r="L16" s="13" t="str">
        <f aca="false">IF(K16&gt;=$C$19,"separates","tie")</f>
        <v>separates</v>
      </c>
      <c r="M16" s="14" t="n">
        <f aca="false">(C16-I16)/C16</f>
        <v>0.102050753672698</v>
      </c>
      <c r="N16" s="15" t="n">
        <f aca="false">H16/I16</f>
        <v>0.927711799361276</v>
      </c>
      <c r="O16" s="16" t="s">
        <v>22</v>
      </c>
    </row>
    <row r="17" customFormat="false" ht="19.5" hidden="false" customHeight="true" outlineLevel="0" collapsed="false">
      <c r="A17" s="28" t="n">
        <v>10</v>
      </c>
      <c r="B17" s="29" t="s">
        <v>33</v>
      </c>
      <c r="C17" s="30" t="n">
        <v>-5754421</v>
      </c>
      <c r="D17" s="31" t="n">
        <v>-5203583</v>
      </c>
      <c r="E17" s="32" t="n">
        <v>-4800009</v>
      </c>
      <c r="F17" s="33" t="s">
        <v>31</v>
      </c>
      <c r="G17" s="32" t="n">
        <v>-4795431</v>
      </c>
      <c r="H17" s="32" t="n">
        <v>-4793652</v>
      </c>
      <c r="I17" s="34" t="n">
        <f aca="false">MIN(D17:H17)</f>
        <v>-5203583</v>
      </c>
      <c r="J17" s="29" t="str">
        <f aca="false">INDEX($D$4:$H$4,MATCH(I17,D17:H17,0))</f>
        <v>fcmaes</v>
      </c>
      <c r="K17" s="32" t="n">
        <f aca="false">SMALL(D17:H17,2)-I17</f>
        <v>403574</v>
      </c>
      <c r="L17" s="35" t="str">
        <f aca="false">IF(K17&gt;=$C$19,"separates","tie")</f>
        <v>separates</v>
      </c>
      <c r="M17" s="36" t="n">
        <f aca="false">(C17-I17)/C17</f>
        <v>0.0957243135321521</v>
      </c>
      <c r="N17" s="37" t="n">
        <f aca="false">H17/I17</f>
        <v>0.921221396872117</v>
      </c>
      <c r="O17" s="38" t="s">
        <v>22</v>
      </c>
    </row>
    <row r="18" customFormat="false" ht="9" hidden="false" customHeight="true" outlineLevel="0" collapsed="false"/>
    <row r="19" customFormat="false" ht="25.5" hidden="false" customHeight="true" outlineLevel="0" collapsed="false">
      <c r="A19" s="39" t="s">
        <v>34</v>
      </c>
      <c r="B19" s="39"/>
      <c r="C19" s="40" t="n">
        <v>7881</v>
      </c>
      <c r="D19" s="41" t="s">
        <v>35</v>
      </c>
      <c r="E19" s="41"/>
      <c r="F19" s="41"/>
      <c r="G19" s="41"/>
      <c r="H19" s="41"/>
      <c r="I19" s="41"/>
      <c r="J19" s="41"/>
      <c r="K19" s="41"/>
      <c r="L19" s="41"/>
      <c r="M19" s="41"/>
      <c r="N19" s="41"/>
      <c r="O19" s="41"/>
    </row>
    <row r="21" customFormat="false" ht="24" hidden="false" customHeight="true" outlineLevel="0" collapsed="false">
      <c r="A21" s="42" t="s">
        <v>36</v>
      </c>
      <c r="B21" s="42"/>
      <c r="C21" s="42"/>
      <c r="D21" s="43" t="str">
        <f aca="false">D$4</f>
        <v>fcmaes</v>
      </c>
      <c r="E21" s="43" t="str">
        <f aca="false">E$4</f>
        <v>Team HRI</v>
      </c>
      <c r="F21" s="43" t="str">
        <f aca="false">F$4</f>
        <v>Spacekangaroos</v>
      </c>
      <c r="G21" s="43" t="str">
        <f aca="false">G$4</f>
        <v>Hill Climbing</v>
      </c>
      <c r="H21" s="43" t="str">
        <f aca="false">H$4</f>
        <v>min-degree ×8</v>
      </c>
      <c r="I21" s="44" t="s">
        <v>37</v>
      </c>
    </row>
    <row r="22" customFormat="false" ht="15" hidden="false" customHeight="false" outlineLevel="0" collapsed="false">
      <c r="A22" s="45" t="s">
        <v>38</v>
      </c>
      <c r="B22" s="45"/>
      <c r="C22" s="45"/>
      <c r="D22" s="13" t="n">
        <f aca="false">COUNTIF($J$5:$J$17,D$4)</f>
        <v>3</v>
      </c>
      <c r="E22" s="13" t="n">
        <f aca="false">COUNTIF($J$5:$J$17,E$4)</f>
        <v>4</v>
      </c>
      <c r="F22" s="13" t="n">
        <f aca="false">COUNTIF($J$5:$J$17,F$4)</f>
        <v>1</v>
      </c>
      <c r="G22" s="13" t="n">
        <f aca="false">COUNTIF($J$5:$J$17,G$4)</f>
        <v>2</v>
      </c>
      <c r="H22" s="13" t="n">
        <f aca="false">COUNTIF($J$5:$J$17,H$4)</f>
        <v>0</v>
      </c>
      <c r="I22" s="46" t="n">
        <f aca="false">SUM(D22:H22)</f>
        <v>10</v>
      </c>
    </row>
    <row r="23" customFormat="false" ht="15" hidden="false" customHeight="false" outlineLevel="0" collapsed="false">
      <c r="A23" s="45" t="s">
        <v>39</v>
      </c>
      <c r="B23" s="45"/>
      <c r="C23" s="45"/>
      <c r="D23" s="47" t="n">
        <f aca="false">COUNTIFS($J$5:$J$17,D$4,$L$5:$L$17,"separates")</f>
        <v>3</v>
      </c>
      <c r="E23" s="47" t="n">
        <f aca="false">COUNTIFS($J$5:$J$17,E$4,$L$5:$L$17,"separates")</f>
        <v>2</v>
      </c>
      <c r="F23" s="47" t="n">
        <f aca="false">COUNTIFS($J$5:$J$17,F$4,$L$5:$L$17,"separates")</f>
        <v>0</v>
      </c>
      <c r="G23" s="47" t="n">
        <f aca="false">COUNTIFS($J$5:$J$17,G$4,$L$5:$L$17,"separates")</f>
        <v>0</v>
      </c>
      <c r="H23" s="47" t="n">
        <f aca="false">COUNTIFS($J$5:$J$17,H$4,$L$5:$L$17,"separates")</f>
        <v>0</v>
      </c>
      <c r="I23" s="46" t="n">
        <f aca="false">COUNTIF($L$5:$L$17,"separates")</f>
        <v>5</v>
      </c>
    </row>
    <row r="24" customFormat="false" ht="15" hidden="false" customHeight="false" outlineLevel="0" collapsed="false">
      <c r="A24" s="45" t="s">
        <v>40</v>
      </c>
      <c r="B24" s="45"/>
      <c r="C24" s="45"/>
      <c r="D24" s="48" t="n">
        <f aca="false">COUNT(D$5:D$17)</f>
        <v>10</v>
      </c>
      <c r="E24" s="48" t="n">
        <f aca="false">COUNT(E$5:E$17)</f>
        <v>10</v>
      </c>
      <c r="F24" s="48" t="n">
        <f aca="false">COUNT(F$5:F$17)</f>
        <v>7</v>
      </c>
      <c r="G24" s="48" t="n">
        <f aca="false">COUNT(G$5:G$17)</f>
        <v>10</v>
      </c>
      <c r="H24" s="48" t="n">
        <f aca="false">COUNT(H$5:H$17)</f>
        <v>10</v>
      </c>
      <c r="I24" s="46" t="n">
        <f aca="false">COUNTA($B$5:$B$17)</f>
        <v>10</v>
      </c>
    </row>
    <row r="26" customFormat="false" ht="15" hidden="false" customHeight="true" outlineLevel="0" collapsed="false">
      <c r="B26" s="49" t="s">
        <v>41</v>
      </c>
      <c r="C26" s="49"/>
      <c r="D26" s="49"/>
      <c r="E26" s="49"/>
      <c r="F26" s="49"/>
      <c r="G26" s="49"/>
      <c r="H26" s="49"/>
      <c r="I26" s="49"/>
      <c r="J26" s="49"/>
      <c r="K26" s="49"/>
      <c r="L26" s="49"/>
      <c r="M26" s="49"/>
      <c r="N26" s="49"/>
      <c r="O26" s="49"/>
    </row>
    <row r="27" customFormat="false" ht="15" hidden="false" customHeight="false" outlineLevel="0" collapsed="false">
      <c r="B27" s="49"/>
      <c r="C27" s="49"/>
      <c r="D27" s="49"/>
      <c r="E27" s="49"/>
      <c r="F27" s="49"/>
      <c r="G27" s="49"/>
      <c r="H27" s="49"/>
      <c r="I27" s="49"/>
      <c r="J27" s="49"/>
      <c r="K27" s="49"/>
      <c r="L27" s="49"/>
      <c r="M27" s="49"/>
      <c r="N27" s="49"/>
      <c r="O27" s="49"/>
    </row>
  </sheetData>
  <mergeCells count="13">
    <mergeCell ref="A1:I1"/>
    <mergeCell ref="K1:O1"/>
    <mergeCell ref="A2:O2"/>
    <mergeCell ref="A5:O5"/>
    <mergeCell ref="A10:O10"/>
    <mergeCell ref="A14:O14"/>
    <mergeCell ref="A19:B19"/>
    <mergeCell ref="D19:O19"/>
    <mergeCell ref="A21:C21"/>
    <mergeCell ref="A22:C22"/>
    <mergeCell ref="A23:C23"/>
    <mergeCell ref="A24:C24"/>
    <mergeCell ref="B26:O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51"/>
    <col collapsed="false" customWidth="true" hidden="false" outlineLevel="0" max="2" min="2" style="0" width="14.51"/>
    <col collapsed="false" customWidth="true" hidden="false" outlineLevel="0" max="3" min="3" style="0" width="15.51"/>
    <col collapsed="false" customWidth="true" hidden="false" outlineLevel="0" max="4" min="4" style="0" width="8.5"/>
    <col collapsed="false" customWidth="true" hidden="false" outlineLevel="0" max="5" min="5" style="0" width="10.51"/>
    <col collapsed="false" customWidth="true" hidden="false" outlineLevel="0" max="6" min="6" style="0" width="8.5"/>
    <col collapsed="false" customWidth="true" hidden="false" outlineLevel="0" max="7" min="7" style="0" width="15.51"/>
    <col collapsed="false" customWidth="true" hidden="false" outlineLevel="0" max="8" min="8" style="0" width="14.51"/>
    <col collapsed="false" customWidth="true" hidden="false" outlineLevel="0" max="9" min="9" style="0" width="14"/>
    <col collapsed="false" customWidth="true" hidden="false" outlineLevel="0" max="10" min="10" style="0" width="17"/>
    <col collapsed="false" customWidth="true" hidden="false" outlineLevel="0" max="11" min="11" style="0" width="16"/>
    <col collapsed="false" customWidth="true" hidden="false" outlineLevel="0" max="12" min="12" style="0" width="46"/>
  </cols>
  <sheetData>
    <row r="1" customFormat="false" ht="24" hidden="false" customHeight="true" outlineLevel="0" collapsed="false">
      <c r="A1" s="50" t="s">
        <v>42</v>
      </c>
      <c r="B1" s="50"/>
      <c r="C1" s="50"/>
      <c r="D1" s="50"/>
      <c r="E1" s="50"/>
      <c r="F1" s="50"/>
      <c r="G1" s="50"/>
      <c r="H1" s="50"/>
      <c r="I1" s="50"/>
      <c r="J1" s="50"/>
      <c r="K1" s="50"/>
      <c r="L1" s="50"/>
    </row>
    <row r="2" customFormat="false" ht="27.75" hidden="false" customHeight="true" outlineLevel="0" collapsed="false">
      <c r="A2" s="4" t="s">
        <v>43</v>
      </c>
      <c r="B2" s="4"/>
      <c r="C2" s="4"/>
      <c r="D2" s="4"/>
      <c r="E2" s="4"/>
      <c r="F2" s="4"/>
      <c r="G2" s="4"/>
      <c r="H2" s="4"/>
      <c r="I2" s="4"/>
      <c r="J2" s="4"/>
      <c r="K2" s="4"/>
      <c r="L2" s="4"/>
    </row>
    <row r="3" customFormat="false" ht="6.75" hidden="false" customHeight="true" outlineLevel="0" collapsed="false"/>
    <row r="4" customFormat="false" ht="33.75" hidden="false" customHeight="true" outlineLevel="0" collapsed="false">
      <c r="A4" s="5" t="s">
        <v>4</v>
      </c>
      <c r="B4" s="5" t="s">
        <v>5</v>
      </c>
      <c r="C4" s="5" t="s">
        <v>44</v>
      </c>
      <c r="D4" s="5" t="s">
        <v>45</v>
      </c>
      <c r="E4" s="5" t="s">
        <v>46</v>
      </c>
      <c r="F4" s="5" t="s">
        <v>47</v>
      </c>
      <c r="G4" s="5" t="s">
        <v>6</v>
      </c>
      <c r="H4" s="5" t="s">
        <v>12</v>
      </c>
      <c r="I4" s="5" t="s">
        <v>16</v>
      </c>
      <c r="J4" s="5" t="s">
        <v>48</v>
      </c>
      <c r="K4" s="5" t="s">
        <v>49</v>
      </c>
      <c r="L4" s="5" t="s">
        <v>50</v>
      </c>
    </row>
    <row r="5" customFormat="false" ht="19.5" hidden="false" customHeight="true" outlineLevel="0" collapsed="false">
      <c r="A5" s="7" t="n">
        <v>1</v>
      </c>
      <c r="B5" s="8" t="s">
        <v>20</v>
      </c>
      <c r="C5" s="8" t="s">
        <v>51</v>
      </c>
      <c r="D5" s="10" t="n">
        <v>1357</v>
      </c>
      <c r="E5" s="10" t="n">
        <v>2280</v>
      </c>
      <c r="F5" s="10" t="n">
        <v>5</v>
      </c>
      <c r="G5" s="9" t="n">
        <f aca="false">INDEX(Results!$C$5:$C$17,MATCH($B5,Results!$B$5:$B$17,0))</f>
        <v>-1841434</v>
      </c>
      <c r="H5" s="10" t="n">
        <f aca="false">INDEX(Results!$I$5:$I$17,MATCH($B5,Results!$B$5:$B$17,0))</f>
        <v>-1827490</v>
      </c>
      <c r="I5" s="14" t="n">
        <f aca="false">(G5-H5)/G5</f>
        <v>0.00757235936775361</v>
      </c>
      <c r="J5" s="10" t="n">
        <v>117</v>
      </c>
      <c r="K5" s="10" t="n">
        <v>22</v>
      </c>
      <c r="L5" s="51" t="s">
        <v>52</v>
      </c>
    </row>
    <row r="6" customFormat="false" ht="19.5" hidden="false" customHeight="true" outlineLevel="0" collapsed="false">
      <c r="A6" s="17" t="n">
        <v>2</v>
      </c>
      <c r="B6" s="18" t="s">
        <v>21</v>
      </c>
      <c r="C6" s="18" t="s">
        <v>51</v>
      </c>
      <c r="D6" s="20" t="n">
        <v>1357</v>
      </c>
      <c r="E6" s="20" t="n">
        <v>2282</v>
      </c>
      <c r="F6" s="20" t="n">
        <v>5</v>
      </c>
      <c r="G6" s="19" t="n">
        <f aca="false">INDEX(Results!$C$5:$C$17,MATCH($B6,Results!$B$5:$B$17,0))</f>
        <v>-1841434</v>
      </c>
      <c r="H6" s="20" t="n">
        <f aca="false">INDEX(Results!$I$5:$I$17,MATCH($B6,Results!$B$5:$B$17,0))</f>
        <v>-1819934</v>
      </c>
      <c r="I6" s="23" t="n">
        <f aca="false">(G6-H6)/G6</f>
        <v>0.0116756831903831</v>
      </c>
      <c r="J6" s="20" t="n">
        <v>250</v>
      </c>
      <c r="K6" s="20" t="n">
        <v>18</v>
      </c>
      <c r="L6" s="52" t="s">
        <v>53</v>
      </c>
    </row>
    <row r="7" customFormat="false" ht="19.5" hidden="false" customHeight="true" outlineLevel="0" collapsed="false">
      <c r="A7" s="7" t="n">
        <v>3</v>
      </c>
      <c r="B7" s="8" t="s">
        <v>23</v>
      </c>
      <c r="C7" s="8" t="s">
        <v>51</v>
      </c>
      <c r="D7" s="10" t="n">
        <v>1357</v>
      </c>
      <c r="E7" s="10" t="n">
        <v>2282</v>
      </c>
      <c r="F7" s="10" t="n">
        <v>5</v>
      </c>
      <c r="G7" s="9" t="n">
        <f aca="false">INDEX(Results!$C$5:$C$17,MATCH($B7,Results!$B$5:$B$17,0))</f>
        <v>-1841434</v>
      </c>
      <c r="H7" s="10" t="n">
        <f aca="false">INDEX(Results!$I$5:$I$17,MATCH($B7,Results!$B$5:$B$17,0))</f>
        <v>-1820165</v>
      </c>
      <c r="I7" s="14" t="n">
        <f aca="false">(G7-H7)/G7</f>
        <v>0.0115502374779655</v>
      </c>
      <c r="J7" s="10" t="n">
        <v>297</v>
      </c>
      <c r="K7" s="10" t="n">
        <v>19</v>
      </c>
      <c r="L7" s="51" t="s">
        <v>54</v>
      </c>
    </row>
    <row r="8" customFormat="false" ht="19.5" hidden="false" customHeight="true" outlineLevel="0" collapsed="false">
      <c r="A8" s="17" t="n">
        <v>4</v>
      </c>
      <c r="B8" s="18" t="s">
        <v>24</v>
      </c>
      <c r="C8" s="18" t="s">
        <v>51</v>
      </c>
      <c r="D8" s="20" t="n">
        <v>1357</v>
      </c>
      <c r="E8" s="20" t="n">
        <v>2282</v>
      </c>
      <c r="F8" s="20" t="n">
        <v>5</v>
      </c>
      <c r="G8" s="19" t="n">
        <f aca="false">INDEX(Results!$C$5:$C$17,MATCH($B8,Results!$B$5:$B$17,0))</f>
        <v>-1841434</v>
      </c>
      <c r="H8" s="20" t="n">
        <f aca="false">INDEX(Results!$I$5:$I$17,MATCH($B8,Results!$B$5:$B$17,0))</f>
        <v>-1819944</v>
      </c>
      <c r="I8" s="23" t="n">
        <f aca="false">(G8-H8)/G8</f>
        <v>0.011670252640062</v>
      </c>
      <c r="J8" s="20" t="n">
        <v>295</v>
      </c>
      <c r="K8" s="20" t="n">
        <v>19</v>
      </c>
      <c r="L8" s="52" t="s">
        <v>55</v>
      </c>
    </row>
    <row r="9" customFormat="false" ht="19.5" hidden="false" customHeight="true" outlineLevel="0" collapsed="false">
      <c r="A9" s="7" t="n">
        <v>5</v>
      </c>
      <c r="B9" s="8" t="s">
        <v>26</v>
      </c>
      <c r="C9" s="8" t="s">
        <v>56</v>
      </c>
      <c r="D9" s="10" t="n">
        <v>1399</v>
      </c>
      <c r="E9" s="10" t="n">
        <v>13799</v>
      </c>
      <c r="F9" s="10" t="n">
        <v>63</v>
      </c>
      <c r="G9" s="9" t="n">
        <f aca="false">INDEX(Results!$C$5:$C$17,MATCH($B9,Results!$B$5:$B$17,0))</f>
        <v>-1955110</v>
      </c>
      <c r="H9" s="10" t="n">
        <f aca="false">INDEX(Results!$I$5:$I$17,MATCH($B9,Results!$B$5:$B$17,0))</f>
        <v>-1682428</v>
      </c>
      <c r="I9" s="14" t="n">
        <f aca="false">(G9-H9)/G9</f>
        <v>0.139471436389768</v>
      </c>
      <c r="J9" s="10" t="n">
        <v>0</v>
      </c>
      <c r="K9" s="10" t="n">
        <v>285</v>
      </c>
      <c r="L9" s="51" t="s">
        <v>52</v>
      </c>
    </row>
    <row r="10" customFormat="false" ht="19.5" hidden="false" customHeight="true" outlineLevel="0" collapsed="false">
      <c r="A10" s="17" t="n">
        <v>6</v>
      </c>
      <c r="B10" s="18" t="s">
        <v>27</v>
      </c>
      <c r="C10" s="18" t="s">
        <v>56</v>
      </c>
      <c r="D10" s="20" t="n">
        <v>1399</v>
      </c>
      <c r="E10" s="20" t="n">
        <v>13799</v>
      </c>
      <c r="F10" s="20" t="n">
        <v>72</v>
      </c>
      <c r="G10" s="19" t="n">
        <f aca="false">INDEX(Results!$C$5:$C$17,MATCH($B10,Results!$B$5:$B$17,0))</f>
        <v>-1954471</v>
      </c>
      <c r="H10" s="20" t="n">
        <f aca="false">INDEX(Results!$I$5:$I$17,MATCH($B10,Results!$B$5:$B$17,0))</f>
        <v>-1592317</v>
      </c>
      <c r="I10" s="23" t="n">
        <f aca="false">(G10-H10)/G10</f>
        <v>0.18529515147577</v>
      </c>
      <c r="J10" s="20" t="n">
        <v>0</v>
      </c>
      <c r="K10" s="20" t="n">
        <v>312</v>
      </c>
      <c r="L10" s="52" t="s">
        <v>57</v>
      </c>
    </row>
    <row r="11" customFormat="false" ht="19.5" hidden="false" customHeight="true" outlineLevel="0" collapsed="false">
      <c r="A11" s="7" t="n">
        <v>7</v>
      </c>
      <c r="B11" s="8" t="s">
        <v>28</v>
      </c>
      <c r="C11" s="8" t="s">
        <v>56</v>
      </c>
      <c r="D11" s="10" t="n">
        <v>1399</v>
      </c>
      <c r="E11" s="10" t="n">
        <v>13799</v>
      </c>
      <c r="F11" s="10" t="n">
        <v>73</v>
      </c>
      <c r="G11" s="9" t="n">
        <f aca="false">INDEX(Results!$C$5:$C$17,MATCH($B11,Results!$B$5:$B$17,0))</f>
        <v>-1954395</v>
      </c>
      <c r="H11" s="10" t="n">
        <f aca="false">INDEX(Results!$I$5:$I$17,MATCH($B11,Results!$B$5:$B$17,0))</f>
        <v>-1597450</v>
      </c>
      <c r="I11" s="14" t="n">
        <f aca="false">(G11-H11)/G11</f>
        <v>0.182637082063759</v>
      </c>
      <c r="J11" s="10" t="n">
        <v>0</v>
      </c>
      <c r="K11" s="10" t="n">
        <v>349</v>
      </c>
      <c r="L11" s="51" t="s">
        <v>58</v>
      </c>
    </row>
    <row r="12" customFormat="false" ht="19.5" hidden="false" customHeight="true" outlineLevel="0" collapsed="false">
      <c r="A12" s="17" t="n">
        <v>8</v>
      </c>
      <c r="B12" s="18" t="s">
        <v>30</v>
      </c>
      <c r="C12" s="18" t="s">
        <v>59</v>
      </c>
      <c r="D12" s="20" t="n">
        <v>2426</v>
      </c>
      <c r="E12" s="20" t="n">
        <v>253895</v>
      </c>
      <c r="F12" s="20" t="n">
        <v>499</v>
      </c>
      <c r="G12" s="19" t="n">
        <f aca="false">INDEX(Results!$C$5:$C$17,MATCH($B12,Results!$B$5:$B$17,0))</f>
        <v>-5754421</v>
      </c>
      <c r="H12" s="20" t="n">
        <f aca="false">INDEX(Results!$I$5:$I$17,MATCH($B12,Results!$B$5:$B$17,0))</f>
        <v>-5329389</v>
      </c>
      <c r="I12" s="23" t="n">
        <f aca="false">(G12-H12)/G12</f>
        <v>0.0738618185913057</v>
      </c>
      <c r="J12" s="20" t="n">
        <v>0</v>
      </c>
      <c r="K12" s="20" t="n">
        <v>500</v>
      </c>
      <c r="L12" s="52" t="s">
        <v>60</v>
      </c>
    </row>
    <row r="13" customFormat="false" ht="19.5" hidden="false" customHeight="true" outlineLevel="0" collapsed="false">
      <c r="A13" s="7" t="n">
        <v>9</v>
      </c>
      <c r="B13" s="8" t="s">
        <v>32</v>
      </c>
      <c r="C13" s="8" t="s">
        <v>59</v>
      </c>
      <c r="D13" s="10" t="n">
        <v>2426</v>
      </c>
      <c r="E13" s="10" t="n">
        <v>253895</v>
      </c>
      <c r="F13" s="10" t="n">
        <v>499</v>
      </c>
      <c r="G13" s="9" t="n">
        <f aca="false">INDEX(Results!$C$5:$C$17,MATCH($B13,Results!$B$5:$B$17,0))</f>
        <v>-5754421</v>
      </c>
      <c r="H13" s="10" t="n">
        <f aca="false">INDEX(Results!$I$5:$I$17,MATCH($B13,Results!$B$5:$B$17,0))</f>
        <v>-5167178</v>
      </c>
      <c r="I13" s="14" t="n">
        <f aca="false">(G13-H13)/G13</f>
        <v>0.102050753672698</v>
      </c>
      <c r="J13" s="10" t="n">
        <v>0</v>
      </c>
      <c r="K13" s="10" t="n">
        <v>500</v>
      </c>
      <c r="L13" s="51" t="s">
        <v>61</v>
      </c>
    </row>
    <row r="14" customFormat="false" ht="19.5" hidden="false" customHeight="true" outlineLevel="0" collapsed="false">
      <c r="A14" s="28" t="n">
        <v>10</v>
      </c>
      <c r="B14" s="29" t="s">
        <v>33</v>
      </c>
      <c r="C14" s="29" t="s">
        <v>59</v>
      </c>
      <c r="D14" s="32" t="n">
        <v>2426</v>
      </c>
      <c r="E14" s="32" t="n">
        <v>253895</v>
      </c>
      <c r="F14" s="32" t="n">
        <v>499</v>
      </c>
      <c r="G14" s="30" t="n">
        <f aca="false">INDEX(Results!$C$5:$C$17,MATCH($B14,Results!$B$5:$B$17,0))</f>
        <v>-5754421</v>
      </c>
      <c r="H14" s="32" t="n">
        <f aca="false">INDEX(Results!$I$5:$I$17,MATCH($B14,Results!$B$5:$B$17,0))</f>
        <v>-5203583</v>
      </c>
      <c r="I14" s="36" t="n">
        <f aca="false">(G14-H14)/G14</f>
        <v>0.0957243135321521</v>
      </c>
      <c r="J14" s="32" t="n">
        <v>0</v>
      </c>
      <c r="K14" s="32" t="n">
        <v>500</v>
      </c>
      <c r="L14" s="53" t="s">
        <v>62</v>
      </c>
    </row>
    <row r="16" customFormat="false" ht="15" hidden="false" customHeight="true" outlineLevel="0" collapsed="false">
      <c r="B16" s="54" t="s">
        <v>63</v>
      </c>
      <c r="C16" s="54"/>
      <c r="D16" s="54"/>
      <c r="E16" s="54"/>
      <c r="F16" s="54"/>
      <c r="G16" s="54"/>
      <c r="H16" s="54"/>
      <c r="I16" s="54"/>
      <c r="J16" s="54"/>
      <c r="K16" s="54"/>
      <c r="L16" s="54"/>
    </row>
    <row r="17" customFormat="false" ht="15" hidden="false" customHeight="false" outlineLevel="0" collapsed="false">
      <c r="B17" s="54"/>
      <c r="C17" s="54"/>
      <c r="D17" s="54"/>
      <c r="E17" s="54"/>
      <c r="F17" s="54"/>
      <c r="G17" s="54"/>
      <c r="H17" s="54"/>
      <c r="I17" s="54"/>
      <c r="J17" s="54"/>
      <c r="K17" s="54"/>
      <c r="L17" s="54"/>
    </row>
    <row r="18" customFormat="false" ht="15" hidden="false" customHeight="false" outlineLevel="0" collapsed="false">
      <c r="B18" s="54"/>
      <c r="C18" s="54"/>
      <c r="D18" s="54"/>
      <c r="E18" s="54"/>
      <c r="F18" s="54"/>
      <c r="G18" s="54"/>
      <c r="H18" s="54"/>
      <c r="I18" s="54"/>
      <c r="J18" s="54"/>
      <c r="K18" s="54"/>
      <c r="L18" s="54"/>
    </row>
    <row r="19" customFormat="false" ht="15" hidden="false" customHeight="false" outlineLevel="0" collapsed="false">
      <c r="B19" s="54"/>
      <c r="C19" s="54"/>
      <c r="D19" s="54"/>
      <c r="E19" s="54"/>
      <c r="F19" s="54"/>
      <c r="G19" s="54"/>
      <c r="H19" s="54"/>
      <c r="I19" s="54"/>
      <c r="J19" s="54"/>
      <c r="K19" s="54"/>
      <c r="L19" s="54"/>
    </row>
    <row r="20" customFormat="false" ht="15" hidden="false" customHeight="false" outlineLevel="0" collapsed="false">
      <c r="B20" s="54"/>
      <c r="C20" s="54"/>
      <c r="D20" s="54"/>
      <c r="E20" s="54"/>
      <c r="F20" s="54"/>
      <c r="G20" s="54"/>
      <c r="H20" s="54"/>
      <c r="I20" s="54"/>
      <c r="J20" s="54"/>
      <c r="K20" s="54"/>
      <c r="L20" s="54"/>
    </row>
    <row r="22" customFormat="false" ht="15" hidden="false" customHeight="true" outlineLevel="0" collapsed="false">
      <c r="B22" s="54" t="s">
        <v>64</v>
      </c>
      <c r="C22" s="54"/>
      <c r="D22" s="54"/>
      <c r="E22" s="54"/>
      <c r="F22" s="54"/>
      <c r="G22" s="54"/>
      <c r="H22" s="54"/>
      <c r="I22" s="54"/>
      <c r="J22" s="54"/>
      <c r="K22" s="54"/>
      <c r="L22" s="54"/>
    </row>
    <row r="23" customFormat="false" ht="15" hidden="false" customHeight="false" outlineLevel="0" collapsed="false">
      <c r="B23" s="54"/>
      <c r="C23" s="54"/>
      <c r="D23" s="54"/>
      <c r="E23" s="54"/>
      <c r="F23" s="54"/>
      <c r="G23" s="54"/>
      <c r="H23" s="54"/>
      <c r="I23" s="54"/>
      <c r="J23" s="54"/>
      <c r="K23" s="54"/>
      <c r="L23" s="54"/>
    </row>
    <row r="24" customFormat="false" ht="15" hidden="false" customHeight="false" outlineLevel="0" collapsed="false">
      <c r="B24" s="54"/>
      <c r="C24" s="54"/>
      <c r="D24" s="54"/>
      <c r="E24" s="54"/>
      <c r="F24" s="54"/>
      <c r="G24" s="54"/>
      <c r="H24" s="54"/>
      <c r="I24" s="54"/>
      <c r="J24" s="54"/>
      <c r="K24" s="54"/>
      <c r="L24" s="54"/>
    </row>
    <row r="25" customFormat="false" ht="15" hidden="false" customHeight="false" outlineLevel="0" collapsed="false">
      <c r="B25" s="54"/>
      <c r="C25" s="54"/>
      <c r="D25" s="54"/>
      <c r="E25" s="54"/>
      <c r="F25" s="54"/>
      <c r="G25" s="54"/>
      <c r="H25" s="54"/>
      <c r="I25" s="54"/>
      <c r="J25" s="54"/>
      <c r="K25" s="54"/>
      <c r="L25" s="54"/>
    </row>
  </sheetData>
  <mergeCells count="4">
    <mergeCell ref="A1:L1"/>
    <mergeCell ref="A2:L2"/>
    <mergeCell ref="B16:L20"/>
    <mergeCell ref="B22:L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51"/>
    <col collapsed="false" customWidth="true" hidden="false" outlineLevel="0" max="2" min="2" style="0" width="19"/>
    <col collapsed="false" customWidth="true" hidden="false" outlineLevel="0" max="3" min="3" style="0" width="11"/>
    <col collapsed="false" customWidth="true" hidden="false" outlineLevel="0" max="4" min="4" style="0" width="17.5"/>
    <col collapsed="false" customWidth="true" hidden="false" outlineLevel="0" max="6" min="5" style="0" width="14"/>
    <col collapsed="false" customWidth="true" hidden="false" outlineLevel="0" max="7" min="7" style="0" width="11"/>
    <col collapsed="false" customWidth="true" hidden="false" outlineLevel="0" max="9" min="8" style="0" width="7.5"/>
    <col collapsed="false" customWidth="true" hidden="false" outlineLevel="0" max="10" min="10" style="0" width="8.5"/>
    <col collapsed="false" customWidth="true" hidden="false" outlineLevel="0" max="11" min="11" style="0" width="11"/>
    <col collapsed="false" customWidth="true" hidden="false" outlineLevel="0" max="12" min="12" style="0" width="13"/>
    <col collapsed="false" customWidth="true" hidden="false" outlineLevel="0" max="13" min="13" style="0" width="16"/>
    <col collapsed="false" customWidth="true" hidden="false" outlineLevel="0" max="14" min="14" style="0" width="52"/>
  </cols>
  <sheetData>
    <row r="1" customFormat="false" ht="24" hidden="false" customHeight="true" outlineLevel="0" collapsed="false">
      <c r="A1" s="50" t="s">
        <v>65</v>
      </c>
      <c r="B1" s="50"/>
      <c r="C1" s="50"/>
      <c r="D1" s="50"/>
      <c r="E1" s="50"/>
      <c r="F1" s="50"/>
      <c r="G1" s="50"/>
      <c r="H1" s="50"/>
      <c r="I1" s="50"/>
      <c r="J1" s="50"/>
      <c r="K1" s="50"/>
      <c r="L1" s="50"/>
      <c r="M1" s="50"/>
      <c r="N1" s="50"/>
    </row>
    <row r="2" customFormat="false" ht="19.5" hidden="false" customHeight="true" outlineLevel="0" collapsed="false">
      <c r="A2" s="4" t="s">
        <v>66</v>
      </c>
      <c r="B2" s="4"/>
      <c r="C2" s="4"/>
      <c r="D2" s="4"/>
      <c r="E2" s="4"/>
      <c r="F2" s="4"/>
      <c r="G2" s="4"/>
      <c r="H2" s="4"/>
      <c r="I2" s="4"/>
      <c r="J2" s="4"/>
      <c r="K2" s="4"/>
      <c r="L2" s="4"/>
      <c r="M2" s="4"/>
      <c r="N2" s="4"/>
    </row>
    <row r="3" customFormat="false" ht="6.75" hidden="false" customHeight="true" outlineLevel="0" collapsed="false"/>
    <row r="4" customFormat="false" ht="15.75" hidden="false" customHeight="true" outlineLevel="0" collapsed="false">
      <c r="B4" s="55" t="s">
        <v>67</v>
      </c>
      <c r="C4" s="55"/>
      <c r="D4" s="40" t="n">
        <v>-26412158</v>
      </c>
      <c r="E4" s="56" t="s">
        <v>68</v>
      </c>
      <c r="F4" s="56"/>
      <c r="G4" s="56"/>
      <c r="H4" s="56"/>
      <c r="I4" s="56"/>
      <c r="J4" s="56"/>
      <c r="K4" s="56"/>
      <c r="L4" s="56"/>
      <c r="M4" s="56"/>
      <c r="N4" s="56"/>
    </row>
    <row r="5" customFormat="false" ht="15.75" hidden="false" customHeight="true" outlineLevel="0" collapsed="false">
      <c r="B5" s="55" t="s">
        <v>69</v>
      </c>
      <c r="C5" s="55"/>
      <c r="D5" s="40" t="n">
        <v>-26390639</v>
      </c>
      <c r="E5" s="56" t="s">
        <v>70</v>
      </c>
      <c r="F5" s="56"/>
      <c r="G5" s="56"/>
      <c r="H5" s="56"/>
      <c r="I5" s="56"/>
      <c r="J5" s="56"/>
      <c r="K5" s="56"/>
      <c r="L5" s="56"/>
      <c r="M5" s="56"/>
      <c r="N5" s="56"/>
    </row>
    <row r="6" customFormat="false" ht="15.75" hidden="false" customHeight="true" outlineLevel="0" collapsed="false">
      <c r="B6" s="55" t="s">
        <v>71</v>
      </c>
      <c r="C6" s="55"/>
      <c r="D6" s="57" t="n">
        <f aca="false">ABS(D4-D5)</f>
        <v>21519</v>
      </c>
      <c r="E6" s="56" t="s">
        <v>72</v>
      </c>
      <c r="F6" s="56"/>
      <c r="G6" s="56"/>
      <c r="H6" s="56"/>
      <c r="I6" s="56"/>
      <c r="J6" s="56"/>
      <c r="K6" s="56"/>
      <c r="L6" s="56"/>
      <c r="M6" s="56"/>
      <c r="N6" s="56"/>
    </row>
    <row r="7" customFormat="false" ht="9" hidden="false" customHeight="true" outlineLevel="0" collapsed="false"/>
    <row r="8" customFormat="false" ht="30" hidden="false" customHeight="true" outlineLevel="0" collapsed="false">
      <c r="A8" s="58" t="s">
        <v>4</v>
      </c>
      <c r="B8" s="58" t="s">
        <v>73</v>
      </c>
      <c r="C8" s="58" t="s">
        <v>44</v>
      </c>
      <c r="D8" s="58" t="s">
        <v>74</v>
      </c>
      <c r="E8" s="58" t="s">
        <v>75</v>
      </c>
      <c r="F8" s="58" t="s">
        <v>76</v>
      </c>
      <c r="G8" s="58" t="s">
        <v>77</v>
      </c>
      <c r="H8" s="58" t="s">
        <v>78</v>
      </c>
      <c r="I8" s="58" t="s">
        <v>79</v>
      </c>
      <c r="J8" s="58" t="s">
        <v>80</v>
      </c>
      <c r="K8" s="58" t="s">
        <v>81</v>
      </c>
      <c r="L8" s="58" t="s">
        <v>82</v>
      </c>
      <c r="M8" s="58" t="s">
        <v>15</v>
      </c>
      <c r="N8" s="58" t="s">
        <v>83</v>
      </c>
    </row>
    <row r="9" customFormat="false" ht="18.75" hidden="false" customHeight="true" outlineLevel="0" collapsed="false">
      <c r="A9" s="59" t="n">
        <v>1</v>
      </c>
      <c r="B9" s="60" t="s">
        <v>84</v>
      </c>
      <c r="C9" s="61" t="s">
        <v>85</v>
      </c>
      <c r="D9" s="62" t="n">
        <v>-26402010</v>
      </c>
      <c r="E9" s="63" t="n">
        <f aca="false">$D$5-D9</f>
        <v>11371</v>
      </c>
      <c r="F9" s="63" t="n">
        <f aca="false">$D$4-D9</f>
        <v>-10148</v>
      </c>
      <c r="G9" s="64" t="str">
        <f aca="false">IF(SIGN(E9)&lt;&gt;SIGN(F9),"yes","no")</f>
        <v>yes</v>
      </c>
      <c r="H9" s="64" t="n">
        <v>2</v>
      </c>
      <c r="I9" s="64" t="n">
        <v>8</v>
      </c>
      <c r="J9" s="64" t="n">
        <v>0</v>
      </c>
      <c r="K9" s="62" t="n">
        <v>53</v>
      </c>
      <c r="L9" s="65" t="n">
        <f aca="false">ABS(E9)/ABS($D$6)</f>
        <v>0.528416747990148</v>
      </c>
      <c r="M9" s="64" t="str">
        <f aca="false">IF(L9&gt;=1,"established","not established")</f>
        <v>not established</v>
      </c>
      <c r="N9" s="66" t="s">
        <v>86</v>
      </c>
    </row>
    <row r="10" customFormat="false" ht="18.75" hidden="false" customHeight="true" outlineLevel="0" collapsed="false">
      <c r="A10" s="67" t="n">
        <v>2</v>
      </c>
      <c r="B10" s="68" t="s">
        <v>87</v>
      </c>
      <c r="C10" s="69" t="s">
        <v>88</v>
      </c>
      <c r="D10" s="70" t="n">
        <v>-26394502</v>
      </c>
      <c r="E10" s="71" t="n">
        <f aca="false">$D$5-D10</f>
        <v>3863</v>
      </c>
      <c r="F10" s="71" t="n">
        <f aca="false">$D$4-D10</f>
        <v>-17656</v>
      </c>
      <c r="G10" s="72" t="str">
        <f aca="false">IF(SIGN(E10)&lt;&gt;SIGN(F10),"yes","no")</f>
        <v>yes</v>
      </c>
      <c r="H10" s="72" t="n">
        <v>0</v>
      </c>
      <c r="I10" s="72" t="n">
        <v>10</v>
      </c>
      <c r="J10" s="72" t="n">
        <v>0</v>
      </c>
      <c r="K10" s="70" t="n">
        <v>137</v>
      </c>
      <c r="L10" s="73" t="n">
        <f aca="false">ABS(E10)/ABS($D$6)</f>
        <v>0.179515776755425</v>
      </c>
      <c r="M10" s="72" t="str">
        <f aca="false">IF(L10&gt;=1,"established","not established")</f>
        <v>not established</v>
      </c>
      <c r="N10" s="74"/>
    </row>
    <row r="11" customFormat="false" ht="18.75" hidden="false" customHeight="true" outlineLevel="0" collapsed="false">
      <c r="A11" s="59" t="n">
        <v>3</v>
      </c>
      <c r="B11" s="60" t="s">
        <v>89</v>
      </c>
      <c r="C11" s="61" t="s">
        <v>90</v>
      </c>
      <c r="D11" s="62" t="n">
        <v>-26394235</v>
      </c>
      <c r="E11" s="63" t="n">
        <f aca="false">$D$5-D11</f>
        <v>3596</v>
      </c>
      <c r="F11" s="63" t="n">
        <f aca="false">$D$4-D11</f>
        <v>-17923</v>
      </c>
      <c r="G11" s="64" t="str">
        <f aca="false">IF(SIGN(E11)&lt;&gt;SIGN(F11),"yes","no")</f>
        <v>yes</v>
      </c>
      <c r="H11" s="64" t="n">
        <v>0</v>
      </c>
      <c r="I11" s="64" t="n">
        <v>10</v>
      </c>
      <c r="J11" s="64" t="n">
        <v>0</v>
      </c>
      <c r="K11" s="62" t="n">
        <v>118</v>
      </c>
      <c r="L11" s="65" t="n">
        <f aca="false">ABS(E11)/ABS($D$6)</f>
        <v>0.167108136995214</v>
      </c>
      <c r="M11" s="64" t="str">
        <f aca="false">IF(L11&gt;=1,"established","not established")</f>
        <v>not established</v>
      </c>
      <c r="N11" s="66"/>
    </row>
    <row r="12" customFormat="false" ht="18.75" hidden="false" customHeight="true" outlineLevel="0" collapsed="false">
      <c r="A12" s="67" t="n">
        <v>4</v>
      </c>
      <c r="B12" s="68" t="s">
        <v>91</v>
      </c>
      <c r="C12" s="69" t="s">
        <v>88</v>
      </c>
      <c r="D12" s="70" t="n">
        <v>-26393679</v>
      </c>
      <c r="E12" s="71" t="n">
        <f aca="false">$D$5-D12</f>
        <v>3040</v>
      </c>
      <c r="F12" s="71" t="n">
        <f aca="false">$D$4-D12</f>
        <v>-18479</v>
      </c>
      <c r="G12" s="72" t="str">
        <f aca="false">IF(SIGN(E12)&lt;&gt;SIGN(F12),"yes","no")</f>
        <v>yes</v>
      </c>
      <c r="H12" s="72" t="n">
        <v>0</v>
      </c>
      <c r="I12" s="72" t="n">
        <v>10</v>
      </c>
      <c r="J12" s="72" t="n">
        <v>0</v>
      </c>
      <c r="K12" s="70" t="n">
        <v>185</v>
      </c>
      <c r="L12" s="73" t="n">
        <f aca="false">ABS(E12)/ABS($D$6)</f>
        <v>0.141270505134997</v>
      </c>
      <c r="M12" s="72" t="str">
        <f aca="false">IF(L12&gt;=1,"established","not established")</f>
        <v>not established</v>
      </c>
      <c r="N12" s="74"/>
    </row>
    <row r="13" customFormat="false" ht="18.75" hidden="false" customHeight="true" outlineLevel="0" collapsed="false">
      <c r="A13" s="59" t="n">
        <v>5</v>
      </c>
      <c r="B13" s="60" t="s">
        <v>92</v>
      </c>
      <c r="C13" s="61" t="s">
        <v>85</v>
      </c>
      <c r="D13" s="62" t="n">
        <v>-26389902</v>
      </c>
      <c r="E13" s="63" t="n">
        <f aca="false">$D$5-D13</f>
        <v>-737</v>
      </c>
      <c r="F13" s="63" t="n">
        <f aca="false">$D$4-D13</f>
        <v>-22256</v>
      </c>
      <c r="G13" s="64" t="str">
        <f aca="false">IF(SIGN(E13)&lt;&gt;SIGN(F13),"yes","no")</f>
        <v>no</v>
      </c>
      <c r="H13" s="64" t="n">
        <v>0</v>
      </c>
      <c r="I13" s="64" t="n">
        <v>10</v>
      </c>
      <c r="J13" s="64" t="n">
        <v>0</v>
      </c>
      <c r="K13" s="62" t="n">
        <v>32</v>
      </c>
      <c r="L13" s="65" t="n">
        <f aca="false">ABS(E13)/ABS($D$6)</f>
        <v>0.0342488033830568</v>
      </c>
      <c r="M13" s="64" t="str">
        <f aca="false">IF(L13&gt;=1,"established","not established")</f>
        <v>not established</v>
      </c>
      <c r="N13" s="66"/>
    </row>
    <row r="14" customFormat="false" ht="18.75" hidden="false" customHeight="true" outlineLevel="0" collapsed="false">
      <c r="A14" s="67" t="n">
        <v>6</v>
      </c>
      <c r="B14" s="68" t="s">
        <v>93</v>
      </c>
      <c r="C14" s="69" t="s">
        <v>94</v>
      </c>
      <c r="D14" s="70" t="n">
        <v>-26389901</v>
      </c>
      <c r="E14" s="71" t="n">
        <f aca="false">$D$5-D14</f>
        <v>-738</v>
      </c>
      <c r="F14" s="71" t="n">
        <f aca="false">$D$4-D14</f>
        <v>-22257</v>
      </c>
      <c r="G14" s="72" t="str">
        <f aca="false">IF(SIGN(E14)&lt;&gt;SIGN(F14),"yes","no")</f>
        <v>no</v>
      </c>
      <c r="H14" s="72" t="n">
        <v>0</v>
      </c>
      <c r="I14" s="72" t="n">
        <v>10</v>
      </c>
      <c r="J14" s="72" t="n">
        <v>0</v>
      </c>
      <c r="K14" s="70" t="n">
        <v>537</v>
      </c>
      <c r="L14" s="73" t="n">
        <f aca="false">ABS(E14)/ABS($D$6)</f>
        <v>0.0342952739439565</v>
      </c>
      <c r="M14" s="72" t="str">
        <f aca="false">IF(L14&gt;=1,"established","not established")</f>
        <v>not established</v>
      </c>
      <c r="N14" s="74" t="s">
        <v>95</v>
      </c>
    </row>
    <row r="15" customFormat="false" ht="18.75" hidden="false" customHeight="true" outlineLevel="0" collapsed="false">
      <c r="A15" s="59" t="n">
        <v>7</v>
      </c>
      <c r="B15" s="60" t="s">
        <v>96</v>
      </c>
      <c r="C15" s="61" t="s">
        <v>97</v>
      </c>
      <c r="D15" s="62" t="n">
        <v>-26389816</v>
      </c>
      <c r="E15" s="63" t="n">
        <f aca="false">$D$5-D15</f>
        <v>-823</v>
      </c>
      <c r="F15" s="63" t="n">
        <f aca="false">$D$4-D15</f>
        <v>-22342</v>
      </c>
      <c r="G15" s="64" t="str">
        <f aca="false">IF(SIGN(E15)&lt;&gt;SIGN(F15),"yes","no")</f>
        <v>no</v>
      </c>
      <c r="H15" s="64" t="n">
        <v>0</v>
      </c>
      <c r="I15" s="64" t="n">
        <v>10</v>
      </c>
      <c r="J15" s="64" t="n">
        <v>0</v>
      </c>
      <c r="K15" s="62" t="n">
        <v>9</v>
      </c>
      <c r="L15" s="65" t="n">
        <f aca="false">ABS(E15)/ABS($D$6)</f>
        <v>0.0382452716204285</v>
      </c>
      <c r="M15" s="64" t="str">
        <f aca="false">IF(L15&gt;=1,"established","not established")</f>
        <v>not established</v>
      </c>
      <c r="N15" s="66"/>
    </row>
    <row r="16" customFormat="false" ht="18.75" hidden="false" customHeight="true" outlineLevel="0" collapsed="false">
      <c r="A16" s="67" t="n">
        <v>8</v>
      </c>
      <c r="B16" s="68" t="s">
        <v>98</v>
      </c>
      <c r="C16" s="69" t="s">
        <v>88</v>
      </c>
      <c r="D16" s="70" t="n">
        <v>-26389244</v>
      </c>
      <c r="E16" s="71" t="n">
        <f aca="false">$D$5-D16</f>
        <v>-1395</v>
      </c>
      <c r="F16" s="71" t="n">
        <f aca="false">$D$4-D16</f>
        <v>-22914</v>
      </c>
      <c r="G16" s="72" t="str">
        <f aca="false">IF(SIGN(E16)&lt;&gt;SIGN(F16),"yes","no")</f>
        <v>no</v>
      </c>
      <c r="H16" s="72" t="n">
        <v>0</v>
      </c>
      <c r="I16" s="72" t="n">
        <v>10</v>
      </c>
      <c r="J16" s="72" t="n">
        <v>0</v>
      </c>
      <c r="K16" s="70" t="n">
        <v>161</v>
      </c>
      <c r="L16" s="73" t="n">
        <f aca="false">ABS(E16)/ABS($D$6)</f>
        <v>0.0648264324550397</v>
      </c>
      <c r="M16" s="72" t="str">
        <f aca="false">IF(L16&gt;=1,"established","not established")</f>
        <v>not established</v>
      </c>
      <c r="N16" s="74"/>
    </row>
    <row r="17" customFormat="false" ht="18.75" hidden="false" customHeight="true" outlineLevel="0" collapsed="false">
      <c r="A17" s="59" t="n">
        <v>9</v>
      </c>
      <c r="B17" s="60" t="s">
        <v>99</v>
      </c>
      <c r="C17" s="61" t="s">
        <v>85</v>
      </c>
      <c r="D17" s="62" t="n">
        <v>-26389039</v>
      </c>
      <c r="E17" s="63" t="n">
        <f aca="false">$D$5-D17</f>
        <v>-1600</v>
      </c>
      <c r="F17" s="63" t="n">
        <f aca="false">$D$4-D17</f>
        <v>-23119</v>
      </c>
      <c r="G17" s="64" t="str">
        <f aca="false">IF(SIGN(E17)&lt;&gt;SIGN(F17),"yes","no")</f>
        <v>no</v>
      </c>
      <c r="H17" s="64" t="n">
        <v>0</v>
      </c>
      <c r="I17" s="64" t="n">
        <v>10</v>
      </c>
      <c r="J17" s="64" t="n">
        <v>0</v>
      </c>
      <c r="K17" s="62" t="n">
        <v>69</v>
      </c>
      <c r="L17" s="65" t="n">
        <f aca="false">ABS(E17)/ABS($D$6)</f>
        <v>0.0743528974394721</v>
      </c>
      <c r="M17" s="64" t="str">
        <f aca="false">IF(L17&gt;=1,"established","not established")</f>
        <v>not established</v>
      </c>
      <c r="N17" s="66"/>
    </row>
    <row r="18" customFormat="false" ht="18.75" hidden="false" customHeight="true" outlineLevel="0" collapsed="false">
      <c r="A18" s="67" t="n">
        <v>10</v>
      </c>
      <c r="B18" s="68" t="s">
        <v>100</v>
      </c>
      <c r="C18" s="69" t="s">
        <v>101</v>
      </c>
      <c r="D18" s="70" t="n">
        <v>-26387771</v>
      </c>
      <c r="E18" s="71" t="n">
        <f aca="false">$D$5-D18</f>
        <v>-2868</v>
      </c>
      <c r="F18" s="71" t="n">
        <f aca="false">$D$4-D18</f>
        <v>-24387</v>
      </c>
      <c r="G18" s="72" t="str">
        <f aca="false">IF(SIGN(E18)&lt;&gt;SIGN(F18),"yes","no")</f>
        <v>no</v>
      </c>
      <c r="H18" s="72" t="n">
        <v>0</v>
      </c>
      <c r="I18" s="72" t="n">
        <v>10</v>
      </c>
      <c r="J18" s="72" t="n">
        <v>0</v>
      </c>
      <c r="K18" s="70" t="n">
        <v>44</v>
      </c>
      <c r="L18" s="73" t="n">
        <f aca="false">ABS(E18)/ABS($D$6)</f>
        <v>0.133277568660254</v>
      </c>
      <c r="M18" s="72" t="str">
        <f aca="false">IF(L18&gt;=1,"established","not established")</f>
        <v>not established</v>
      </c>
      <c r="N18" s="74"/>
    </row>
    <row r="19" customFormat="false" ht="18.75" hidden="false" customHeight="true" outlineLevel="0" collapsed="false">
      <c r="A19" s="59" t="n">
        <v>11</v>
      </c>
      <c r="B19" s="60" t="s">
        <v>102</v>
      </c>
      <c r="C19" s="61" t="s">
        <v>97</v>
      </c>
      <c r="D19" s="62" t="n">
        <v>-26385322</v>
      </c>
      <c r="E19" s="63" t="n">
        <f aca="false">$D$5-D19</f>
        <v>-5317</v>
      </c>
      <c r="F19" s="63" t="n">
        <f aca="false">$D$4-D19</f>
        <v>-26836</v>
      </c>
      <c r="G19" s="64" t="str">
        <f aca="false">IF(SIGN(E19)&lt;&gt;SIGN(F19),"yes","no")</f>
        <v>no</v>
      </c>
      <c r="H19" s="64" t="n">
        <v>0</v>
      </c>
      <c r="I19" s="64" t="n">
        <v>10</v>
      </c>
      <c r="J19" s="64" t="n">
        <v>0</v>
      </c>
      <c r="K19" s="62" t="n">
        <v>75</v>
      </c>
      <c r="L19" s="65" t="n">
        <f aca="false">ABS(E19)/ABS($D$6)</f>
        <v>0.247083972303546</v>
      </c>
      <c r="M19" s="64" t="str">
        <f aca="false">IF(L19&gt;=1,"established","not established")</f>
        <v>not established</v>
      </c>
      <c r="N19" s="66"/>
    </row>
    <row r="20" customFormat="false" ht="18.75" hidden="false" customHeight="true" outlineLevel="0" collapsed="false">
      <c r="A20" s="67" t="n">
        <v>12</v>
      </c>
      <c r="B20" s="68" t="s">
        <v>103</v>
      </c>
      <c r="C20" s="69" t="s">
        <v>85</v>
      </c>
      <c r="D20" s="70" t="n">
        <v>-26384122</v>
      </c>
      <c r="E20" s="71" t="n">
        <f aca="false">$D$5-D20</f>
        <v>-6517</v>
      </c>
      <c r="F20" s="71" t="n">
        <f aca="false">$D$4-D20</f>
        <v>-28036</v>
      </c>
      <c r="G20" s="72" t="str">
        <f aca="false">IF(SIGN(E20)&lt;&gt;SIGN(F20),"yes","no")</f>
        <v>no</v>
      </c>
      <c r="H20" s="72" t="n">
        <v>0</v>
      </c>
      <c r="I20" s="72" t="n">
        <v>10</v>
      </c>
      <c r="J20" s="72" t="n">
        <v>0</v>
      </c>
      <c r="K20" s="70" t="n">
        <v>9</v>
      </c>
      <c r="L20" s="73" t="n">
        <f aca="false">ABS(E20)/ABS($D$6)</f>
        <v>0.30284864538315</v>
      </c>
      <c r="M20" s="72" t="str">
        <f aca="false">IF(L20&gt;=1,"established","not established")</f>
        <v>not established</v>
      </c>
      <c r="N20" s="74"/>
    </row>
    <row r="21" customFormat="false" ht="18.75" hidden="false" customHeight="true" outlineLevel="0" collapsed="false">
      <c r="A21" s="59" t="n">
        <v>13</v>
      </c>
      <c r="B21" s="60" t="s">
        <v>104</v>
      </c>
      <c r="C21" s="61" t="s">
        <v>85</v>
      </c>
      <c r="D21" s="62" t="n">
        <v>-26378836</v>
      </c>
      <c r="E21" s="63" t="n">
        <f aca="false">$D$5-D21</f>
        <v>-11803</v>
      </c>
      <c r="F21" s="63" t="n">
        <f aca="false">$D$4-D21</f>
        <v>-33322</v>
      </c>
      <c r="G21" s="64" t="str">
        <f aca="false">IF(SIGN(E21)&lt;&gt;SIGN(F21),"yes","no")</f>
        <v>no</v>
      </c>
      <c r="H21" s="64" t="n">
        <v>0</v>
      </c>
      <c r="I21" s="64" t="n">
        <v>10</v>
      </c>
      <c r="J21" s="64" t="n">
        <v>0</v>
      </c>
      <c r="K21" s="62" t="n">
        <v>10</v>
      </c>
      <c r="L21" s="65" t="n">
        <f aca="false">ABS(E21)/ABS($D$6)</f>
        <v>0.548492030298806</v>
      </c>
      <c r="M21" s="64" t="str">
        <f aca="false">IF(L21&gt;=1,"established","not established")</f>
        <v>not established</v>
      </c>
      <c r="N21" s="66"/>
    </row>
    <row r="22" customFormat="false" ht="18.75" hidden="false" customHeight="true" outlineLevel="0" collapsed="false">
      <c r="A22" s="75" t="n">
        <v>14</v>
      </c>
      <c r="B22" s="76" t="s">
        <v>105</v>
      </c>
      <c r="C22" s="77" t="s">
        <v>90</v>
      </c>
      <c r="D22" s="78" t="n">
        <v>-26376380</v>
      </c>
      <c r="E22" s="79" t="n">
        <f aca="false">$D$5-D22</f>
        <v>-14259</v>
      </c>
      <c r="F22" s="79" t="n">
        <f aca="false">$D$4-D22</f>
        <v>-35778</v>
      </c>
      <c r="G22" s="80" t="str">
        <f aca="false">IF(SIGN(E22)&lt;&gt;SIGN(F22),"yes","no")</f>
        <v>no</v>
      </c>
      <c r="H22" s="80" t="n">
        <v>0</v>
      </c>
      <c r="I22" s="80" t="n">
        <v>10</v>
      </c>
      <c r="J22" s="80" t="n">
        <v>0</v>
      </c>
      <c r="K22" s="78" t="n">
        <v>0</v>
      </c>
      <c r="L22" s="81" t="n">
        <f aca="false">ABS(E22)/ABS($D$6)</f>
        <v>0.662623727868395</v>
      </c>
      <c r="M22" s="80" t="str">
        <f aca="false">IF(L22&gt;=1,"established","not established")</f>
        <v>not established</v>
      </c>
      <c r="N22" s="82" t="s">
        <v>106</v>
      </c>
    </row>
    <row r="24" customFormat="false" ht="15" hidden="false" customHeight="true" outlineLevel="0" collapsed="false">
      <c r="B24" s="54" t="s">
        <v>107</v>
      </c>
      <c r="C24" s="54"/>
      <c r="D24" s="54"/>
      <c r="E24" s="54"/>
      <c r="F24" s="54"/>
      <c r="G24" s="54"/>
      <c r="H24" s="54"/>
      <c r="I24" s="54"/>
      <c r="J24" s="54"/>
      <c r="K24" s="54"/>
      <c r="L24" s="54"/>
      <c r="M24" s="54"/>
      <c r="N24" s="54"/>
    </row>
    <row r="25" customFormat="false" ht="15" hidden="false" customHeight="false" outlineLevel="0" collapsed="false">
      <c r="B25" s="54"/>
      <c r="C25" s="54"/>
      <c r="D25" s="54"/>
      <c r="E25" s="54"/>
      <c r="F25" s="54"/>
      <c r="G25" s="54"/>
      <c r="H25" s="54"/>
      <c r="I25" s="54"/>
      <c r="J25" s="54"/>
      <c r="K25" s="54"/>
      <c r="L25" s="54"/>
      <c r="M25" s="54"/>
      <c r="N25" s="54"/>
    </row>
    <row r="26" customFormat="false" ht="15" hidden="false" customHeight="false" outlineLevel="0" collapsed="false">
      <c r="B26" s="54"/>
      <c r="C26" s="54"/>
      <c r="D26" s="54"/>
      <c r="E26" s="54"/>
      <c r="F26" s="54"/>
      <c r="G26" s="54"/>
      <c r="H26" s="54"/>
      <c r="I26" s="54"/>
      <c r="J26" s="54"/>
      <c r="K26" s="54"/>
      <c r="L26" s="54"/>
      <c r="M26" s="54"/>
      <c r="N26" s="54"/>
    </row>
    <row r="27" customFormat="false" ht="15" hidden="false" customHeight="false" outlineLevel="0" collapsed="false">
      <c r="B27" s="54"/>
      <c r="C27" s="54"/>
      <c r="D27" s="54"/>
      <c r="E27" s="54"/>
      <c r="F27" s="54"/>
      <c r="G27" s="54"/>
      <c r="H27" s="54"/>
      <c r="I27" s="54"/>
      <c r="J27" s="54"/>
      <c r="K27" s="54"/>
      <c r="L27" s="54"/>
      <c r="M27" s="54"/>
      <c r="N27" s="54"/>
    </row>
    <row r="29" customFormat="false" ht="15" hidden="false" customHeight="true" outlineLevel="0" collapsed="false">
      <c r="B29" s="49" t="s">
        <v>108</v>
      </c>
      <c r="C29" s="49"/>
      <c r="D29" s="49"/>
      <c r="E29" s="49"/>
      <c r="F29" s="49"/>
      <c r="G29" s="49"/>
      <c r="H29" s="49"/>
      <c r="I29" s="49"/>
      <c r="J29" s="49"/>
      <c r="K29" s="49"/>
      <c r="L29" s="49"/>
      <c r="M29" s="49"/>
      <c r="N29" s="49"/>
    </row>
    <row r="30" customFormat="false" ht="15" hidden="false" customHeight="false" outlineLevel="0" collapsed="false">
      <c r="B30" s="49"/>
      <c r="C30" s="49"/>
      <c r="D30" s="49"/>
      <c r="E30" s="49"/>
      <c r="F30" s="49"/>
      <c r="G30" s="49"/>
      <c r="H30" s="49"/>
      <c r="I30" s="49"/>
      <c r="J30" s="49"/>
      <c r="K30" s="49"/>
      <c r="L30" s="49"/>
      <c r="M30" s="49"/>
      <c r="N30" s="49"/>
    </row>
    <row r="31" customFormat="false" ht="15" hidden="false" customHeight="false" outlineLevel="0" collapsed="false">
      <c r="B31" s="49"/>
      <c r="C31" s="49"/>
      <c r="D31" s="49"/>
      <c r="E31" s="49"/>
      <c r="F31" s="49"/>
      <c r="G31" s="49"/>
      <c r="H31" s="49"/>
      <c r="I31" s="49"/>
      <c r="J31" s="49"/>
      <c r="K31" s="49"/>
      <c r="L31" s="49"/>
      <c r="M31" s="49"/>
      <c r="N31" s="49"/>
    </row>
  </sheetData>
  <mergeCells count="10">
    <mergeCell ref="A1:N1"/>
    <mergeCell ref="A2:N2"/>
    <mergeCell ref="B4:C4"/>
    <mergeCell ref="E4:N4"/>
    <mergeCell ref="B5:C5"/>
    <mergeCell ref="E5:N5"/>
    <mergeCell ref="B6:C6"/>
    <mergeCell ref="E6:N6"/>
    <mergeCell ref="B24:N27"/>
    <mergeCell ref="B29:N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5" min="3" style="0" width="15"/>
    <col collapsed="false" customWidth="true" hidden="false" outlineLevel="0" max="6" min="6" style="0" width="14.51"/>
    <col collapsed="false" customWidth="true" hidden="false" outlineLevel="0" max="7" min="7" style="0" width="18"/>
    <col collapsed="false" customWidth="true" hidden="false" outlineLevel="0" max="8" min="8" style="0" width="42"/>
  </cols>
  <sheetData>
    <row r="1" customFormat="false" ht="24" hidden="false" customHeight="true" outlineLevel="0" collapsed="false">
      <c r="A1" s="50" t="s">
        <v>109</v>
      </c>
      <c r="B1" s="50"/>
      <c r="C1" s="50"/>
      <c r="D1" s="50"/>
      <c r="E1" s="50"/>
      <c r="F1" s="50"/>
      <c r="G1" s="50"/>
      <c r="H1" s="50"/>
    </row>
    <row r="2" customFormat="false" ht="27.75" hidden="false" customHeight="true" outlineLevel="0" collapsed="false">
      <c r="A2" s="4" t="s">
        <v>110</v>
      </c>
      <c r="B2" s="4"/>
      <c r="C2" s="4"/>
      <c r="D2" s="4"/>
      <c r="E2" s="4"/>
      <c r="F2" s="4"/>
      <c r="G2" s="4"/>
      <c r="H2" s="4"/>
    </row>
    <row r="3" customFormat="false" ht="6.75" hidden="false" customHeight="true" outlineLevel="0" collapsed="false"/>
    <row r="4" customFormat="false" ht="30" hidden="false" customHeight="true" outlineLevel="0" collapsed="false">
      <c r="A4" s="58" t="s">
        <v>111</v>
      </c>
      <c r="B4" s="58" t="s">
        <v>112</v>
      </c>
      <c r="C4" s="58" t="s">
        <v>113</v>
      </c>
      <c r="D4" s="58" t="s">
        <v>114</v>
      </c>
      <c r="E4" s="58" t="s">
        <v>115</v>
      </c>
      <c r="F4" s="58" t="s">
        <v>116</v>
      </c>
      <c r="G4" s="58" t="s">
        <v>117</v>
      </c>
      <c r="H4" s="58" t="s">
        <v>118</v>
      </c>
    </row>
    <row r="5" customFormat="false" ht="18.75" hidden="false" customHeight="true" outlineLevel="0" collapsed="false">
      <c r="A5" s="83" t="s">
        <v>119</v>
      </c>
      <c r="B5" s="84" t="s">
        <v>120</v>
      </c>
      <c r="C5" s="85" t="n">
        <v>-26781700</v>
      </c>
      <c r="D5" s="85" t="n">
        <v>-26762079</v>
      </c>
      <c r="E5" s="85" t="n">
        <v>-26692166</v>
      </c>
      <c r="F5" s="86" t="n">
        <f aca="false">C5-E5</f>
        <v>-89534</v>
      </c>
      <c r="G5" s="85"/>
      <c r="H5" s="87" t="s">
        <v>121</v>
      </c>
    </row>
    <row r="6" customFormat="false" ht="18.75" hidden="false" customHeight="true" outlineLevel="0" collapsed="false">
      <c r="A6" s="88" t="s">
        <v>122</v>
      </c>
      <c r="B6" s="69" t="s">
        <v>123</v>
      </c>
      <c r="C6" s="70" t="n">
        <v>-26389516</v>
      </c>
      <c r="D6" s="70" t="n">
        <v>-26404696</v>
      </c>
      <c r="E6" s="70" t="n">
        <v>-26422559</v>
      </c>
      <c r="F6" s="71" t="n">
        <f aca="false">C6-E6</f>
        <v>33043</v>
      </c>
      <c r="G6" s="70" t="n">
        <f aca="false">E6-E$5</f>
        <v>269607</v>
      </c>
      <c r="H6" s="74" t="s">
        <v>124</v>
      </c>
    </row>
    <row r="7" customFormat="false" ht="18.75" hidden="false" customHeight="true" outlineLevel="0" collapsed="false">
      <c r="A7" s="89" t="s">
        <v>125</v>
      </c>
      <c r="B7" s="61" t="s">
        <v>123</v>
      </c>
      <c r="C7" s="62" t="n">
        <v>-26391399</v>
      </c>
      <c r="D7" s="62" t="n">
        <v>-26393577</v>
      </c>
      <c r="E7" s="62" t="n">
        <v>-26396957</v>
      </c>
      <c r="F7" s="63" t="n">
        <f aca="false">C7-E7</f>
        <v>5558</v>
      </c>
      <c r="G7" s="62" t="n">
        <f aca="false">E7-E$5</f>
        <v>295209</v>
      </c>
      <c r="H7" s="66" t="s">
        <v>126</v>
      </c>
    </row>
    <row r="8" customFormat="false" ht="18.75" hidden="false" customHeight="true" outlineLevel="0" collapsed="false">
      <c r="A8" s="90" t="s">
        <v>127</v>
      </c>
      <c r="B8" s="77" t="s">
        <v>123</v>
      </c>
      <c r="C8" s="78" t="n">
        <v>-26392654</v>
      </c>
      <c r="D8" s="78" t="n">
        <v>-26388897</v>
      </c>
      <c r="E8" s="78" t="n">
        <v>-26401668</v>
      </c>
      <c r="F8" s="79" t="n">
        <f aca="false">C8-E8</f>
        <v>9014</v>
      </c>
      <c r="G8" s="78" t="n">
        <f aca="false">E8-E$5</f>
        <v>290498</v>
      </c>
      <c r="H8" s="82" t="s">
        <v>128</v>
      </c>
    </row>
    <row r="10" customFormat="false" ht="19.5" hidden="false" customHeight="true" outlineLevel="0" collapsed="false">
      <c r="A10" s="91" t="s">
        <v>129</v>
      </c>
      <c r="B10" s="91"/>
      <c r="C10" s="91"/>
      <c r="D10" s="91"/>
      <c r="E10" s="91"/>
      <c r="F10" s="91"/>
      <c r="G10" s="91"/>
      <c r="H10" s="91"/>
    </row>
    <row r="11" customFormat="false" ht="15" hidden="false" customHeight="false" outlineLevel="0" collapsed="false">
      <c r="A11" s="92" t="s">
        <v>130</v>
      </c>
      <c r="B11" s="92"/>
      <c r="C11" s="93" t="s">
        <v>113</v>
      </c>
      <c r="D11" s="93" t="s">
        <v>114</v>
      </c>
      <c r="E11" s="93" t="s">
        <v>115</v>
      </c>
      <c r="F11" s="93" t="s">
        <v>131</v>
      </c>
      <c r="G11" s="93" t="s">
        <v>132</v>
      </c>
      <c r="H11" s="93"/>
    </row>
    <row r="12" customFormat="false" ht="18" hidden="false" customHeight="true" outlineLevel="0" collapsed="false">
      <c r="A12" s="94" t="str">
        <f aca="false">A6</f>
        <v>hill_climbing</v>
      </c>
      <c r="B12" s="94"/>
      <c r="C12" s="95" t="n">
        <f aca="false">C6-C$5</f>
        <v>392184</v>
      </c>
      <c r="D12" s="95" t="n">
        <f aca="false">D6-D$5</f>
        <v>357383</v>
      </c>
      <c r="E12" s="95" t="n">
        <f aca="false">E6-E$5</f>
        <v>269607</v>
      </c>
      <c r="F12" s="95" t="n">
        <f aca="false">C12-E12</f>
        <v>122577</v>
      </c>
      <c r="G12" s="96" t="n">
        <f aca="false">(C12-E12)/C12</f>
        <v>0.312549721559268</v>
      </c>
      <c r="H12" s="97"/>
    </row>
    <row r="13" customFormat="false" ht="18" hidden="false" customHeight="true" outlineLevel="0" collapsed="false">
      <c r="A13" s="94" t="str">
        <f aca="false">A7</f>
        <v>all 17</v>
      </c>
      <c r="B13" s="94"/>
      <c r="C13" s="95" t="n">
        <f aca="false">C7-C$5</f>
        <v>390301</v>
      </c>
      <c r="D13" s="95" t="n">
        <f aca="false">D7-D$5</f>
        <v>368502</v>
      </c>
      <c r="E13" s="95" t="n">
        <f aca="false">E7-E$5</f>
        <v>295209</v>
      </c>
      <c r="F13" s="95" t="n">
        <f aca="false">C13-E13</f>
        <v>95092</v>
      </c>
      <c r="G13" s="96" t="n">
        <f aca="false">(C13-E13)/C13</f>
        <v>0.243637602773244</v>
      </c>
      <c r="H13" s="97"/>
    </row>
    <row r="14" customFormat="false" ht="18" hidden="false" customHeight="true" outlineLevel="0" collapsed="false">
      <c r="A14" s="94" t="str">
        <f aca="false">A8</f>
        <v>hc_bottleneck</v>
      </c>
      <c r="B14" s="94"/>
      <c r="C14" s="95" t="n">
        <f aca="false">C8-C$5</f>
        <v>389046</v>
      </c>
      <c r="D14" s="95" t="n">
        <f aca="false">D8-D$5</f>
        <v>373182</v>
      </c>
      <c r="E14" s="95" t="n">
        <f aca="false">E8-E$5</f>
        <v>290498</v>
      </c>
      <c r="F14" s="95" t="n">
        <f aca="false">C14-E14</f>
        <v>98548</v>
      </c>
      <c r="G14" s="96" t="n">
        <f aca="false">(C14-E14)/C14</f>
        <v>0.253306806907152</v>
      </c>
      <c r="H14" s="97"/>
    </row>
    <row r="16" customFormat="false" ht="15" hidden="false" customHeight="true" outlineLevel="0" collapsed="false">
      <c r="A16" s="54" t="s">
        <v>133</v>
      </c>
      <c r="B16" s="54"/>
      <c r="C16" s="54"/>
      <c r="D16" s="54"/>
      <c r="E16" s="54"/>
      <c r="F16" s="54"/>
      <c r="G16" s="54"/>
      <c r="H16" s="54"/>
    </row>
    <row r="17" customFormat="false" ht="15" hidden="false" customHeight="false" outlineLevel="0" collapsed="false">
      <c r="A17" s="54"/>
      <c r="B17" s="54"/>
      <c r="C17" s="54"/>
      <c r="D17" s="54"/>
      <c r="E17" s="54"/>
      <c r="F17" s="54"/>
      <c r="G17" s="54"/>
      <c r="H17" s="54"/>
    </row>
    <row r="18" customFormat="false" ht="15" hidden="false" customHeight="false" outlineLevel="0" collapsed="false">
      <c r="A18" s="54"/>
      <c r="B18" s="54"/>
      <c r="C18" s="54"/>
      <c r="D18" s="54"/>
      <c r="E18" s="54"/>
      <c r="F18" s="54"/>
      <c r="G18" s="54"/>
      <c r="H18" s="54"/>
    </row>
    <row r="19" customFormat="false" ht="15" hidden="false" customHeight="false" outlineLevel="0" collapsed="false">
      <c r="A19" s="54"/>
      <c r="B19" s="54"/>
      <c r="C19" s="54"/>
      <c r="D19" s="54"/>
      <c r="E19" s="54"/>
      <c r="F19" s="54"/>
      <c r="G19" s="54"/>
      <c r="H19" s="54"/>
    </row>
    <row r="20" customFormat="false" ht="15" hidden="false" customHeight="false" outlineLevel="0" collapsed="false">
      <c r="A20" s="54"/>
      <c r="B20" s="54"/>
      <c r="C20" s="54"/>
      <c r="D20" s="54"/>
      <c r="E20" s="54"/>
      <c r="F20" s="54"/>
      <c r="G20" s="54"/>
      <c r="H20" s="54"/>
    </row>
    <row r="22" customFormat="false" ht="15" hidden="false" customHeight="true" outlineLevel="0" collapsed="false">
      <c r="A22" s="54" t="s">
        <v>134</v>
      </c>
      <c r="B22" s="54"/>
      <c r="C22" s="54"/>
      <c r="D22" s="54"/>
      <c r="E22" s="54"/>
      <c r="F22" s="54"/>
      <c r="G22" s="54"/>
      <c r="H22" s="54"/>
    </row>
    <row r="23" customFormat="false" ht="15" hidden="false" customHeight="false" outlineLevel="0" collapsed="false">
      <c r="A23" s="54"/>
      <c r="B23" s="54"/>
      <c r="C23" s="54"/>
      <c r="D23" s="54"/>
      <c r="E23" s="54"/>
      <c r="F23" s="54"/>
      <c r="G23" s="54"/>
      <c r="H23" s="54"/>
    </row>
    <row r="24" customFormat="false" ht="15" hidden="false" customHeight="false" outlineLevel="0" collapsed="false">
      <c r="A24" s="54"/>
      <c r="B24" s="54"/>
      <c r="C24" s="54"/>
      <c r="D24" s="54"/>
      <c r="E24" s="54"/>
      <c r="F24" s="54"/>
      <c r="G24" s="54"/>
      <c r="H24" s="54"/>
    </row>
    <row r="26" customFormat="false" ht="15" hidden="false" customHeight="true" outlineLevel="0" collapsed="false">
      <c r="A26" s="49" t="s">
        <v>135</v>
      </c>
      <c r="B26" s="49"/>
      <c r="C26" s="49"/>
      <c r="D26" s="49"/>
      <c r="E26" s="49"/>
      <c r="F26" s="49"/>
      <c r="G26" s="49"/>
      <c r="H26" s="49"/>
    </row>
    <row r="27" customFormat="false" ht="15" hidden="false" customHeight="false" outlineLevel="0" collapsed="false">
      <c r="A27" s="49"/>
      <c r="B27" s="49"/>
      <c r="C27" s="49"/>
      <c r="D27" s="49"/>
      <c r="E27" s="49"/>
      <c r="F27" s="49"/>
      <c r="G27" s="49"/>
      <c r="H27" s="49"/>
    </row>
  </sheetData>
  <mergeCells count="6">
    <mergeCell ref="A1:H1"/>
    <mergeCell ref="A2:H2"/>
    <mergeCell ref="A10:H10"/>
    <mergeCell ref="A16:H20"/>
    <mergeCell ref="A22:H24"/>
    <mergeCell ref="A26:H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6854"/>
    <pageSetUpPr fitToPage="true"/>
  </sheetPr>
  <dimension ref="B1:D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23"/>
    <col collapsed="false" customWidth="true" hidden="false" outlineLevel="0" max="3" min="3" style="0" width="30"/>
    <col collapsed="false" customWidth="true" hidden="false" outlineLevel="0" max="4" min="4" style="0" width="78"/>
  </cols>
  <sheetData>
    <row r="1" customFormat="false" ht="25.5" hidden="false" customHeight="true" outlineLevel="0" collapsed="false">
      <c r="B1" s="50" t="s">
        <v>136</v>
      </c>
      <c r="C1" s="50"/>
      <c r="D1" s="50"/>
    </row>
    <row r="2" customFormat="false" ht="12" hidden="false" customHeight="true" outlineLevel="0" collapsed="false">
      <c r="B2" s="98" t="s">
        <v>137</v>
      </c>
      <c r="C2" s="98"/>
      <c r="D2" s="98"/>
    </row>
    <row r="3" customFormat="false" ht="12" hidden="false" customHeight="true" outlineLevel="0" collapsed="false">
      <c r="B3" s="98"/>
      <c r="C3" s="98"/>
      <c r="D3" s="98"/>
    </row>
    <row r="6" customFormat="false" ht="21.75" hidden="false" customHeight="true" outlineLevel="0" collapsed="false">
      <c r="B6" s="91" t="s">
        <v>138</v>
      </c>
      <c r="C6" s="91"/>
      <c r="D6" s="91"/>
    </row>
    <row r="7" customFormat="false" ht="12" hidden="false" customHeight="true" outlineLevel="0" collapsed="false">
      <c r="B7" s="99" t="s">
        <v>139</v>
      </c>
      <c r="C7" s="99"/>
      <c r="D7" s="99"/>
    </row>
    <row r="8" customFormat="false" ht="12" hidden="false" customHeight="true" outlineLevel="0" collapsed="false">
      <c r="B8" s="99"/>
      <c r="C8" s="99"/>
      <c r="D8" s="99"/>
    </row>
    <row r="9" customFormat="false" ht="12" hidden="false" customHeight="true" outlineLevel="0" collapsed="false">
      <c r="B9" s="99"/>
      <c r="C9" s="99"/>
      <c r="D9" s="99"/>
    </row>
    <row r="10" customFormat="false" ht="12" hidden="false" customHeight="true" outlineLevel="0" collapsed="false">
      <c r="B10" s="99"/>
      <c r="C10" s="99"/>
      <c r="D10" s="99"/>
    </row>
    <row r="12" customFormat="false" ht="12" hidden="false" customHeight="true" outlineLevel="0" collapsed="false">
      <c r="B12" s="99" t="s">
        <v>140</v>
      </c>
      <c r="C12" s="99"/>
      <c r="D12" s="99"/>
    </row>
    <row r="13" customFormat="false" ht="12" hidden="false" customHeight="true" outlineLevel="0" collapsed="false">
      <c r="B13" s="99"/>
      <c r="C13" s="99"/>
      <c r="D13" s="99"/>
    </row>
    <row r="14" customFormat="false" ht="12" hidden="false" customHeight="true" outlineLevel="0" collapsed="false">
      <c r="B14" s="99"/>
      <c r="C14" s="99"/>
      <c r="D14" s="99"/>
    </row>
    <row r="15" customFormat="false" ht="12" hidden="false" customHeight="true" outlineLevel="0" collapsed="false">
      <c r="B15" s="99"/>
      <c r="C15" s="99"/>
      <c r="D15" s="99"/>
    </row>
    <row r="16" customFormat="false" ht="12" hidden="false" customHeight="true" outlineLevel="0" collapsed="false">
      <c r="B16" s="99"/>
      <c r="C16" s="99"/>
      <c r="D16" s="99"/>
    </row>
    <row r="19" customFormat="false" ht="21.75" hidden="false" customHeight="true" outlineLevel="0" collapsed="false">
      <c r="B19" s="91" t="s">
        <v>141</v>
      </c>
      <c r="C19" s="91"/>
      <c r="D19" s="91"/>
    </row>
    <row r="20" customFormat="false" ht="18" hidden="false" customHeight="true" outlineLevel="0" collapsed="false">
      <c r="B20" s="100" t="s">
        <v>142</v>
      </c>
      <c r="C20" s="100" t="s">
        <v>143</v>
      </c>
      <c r="D20" s="100" t="s">
        <v>118</v>
      </c>
    </row>
    <row r="21" customFormat="false" ht="27.75" hidden="false" customHeight="true" outlineLevel="0" collapsed="false">
      <c r="B21" s="101" t="s">
        <v>6</v>
      </c>
      <c r="C21" s="102" t="s">
        <v>144</v>
      </c>
      <c r="D21" s="102" t="s">
        <v>145</v>
      </c>
    </row>
    <row r="22" customFormat="false" ht="27.75" hidden="false" customHeight="true" outlineLevel="0" collapsed="false">
      <c r="B22" s="103" t="s">
        <v>7</v>
      </c>
      <c r="C22" s="104" t="s">
        <v>146</v>
      </c>
      <c r="D22" s="104" t="s">
        <v>147</v>
      </c>
    </row>
    <row r="23" customFormat="false" ht="27.75" hidden="false" customHeight="true" outlineLevel="0" collapsed="false">
      <c r="B23" s="101" t="s">
        <v>8</v>
      </c>
      <c r="C23" s="102" t="s">
        <v>148</v>
      </c>
      <c r="D23" s="102" t="s">
        <v>149</v>
      </c>
    </row>
    <row r="24" customFormat="false" ht="27.75" hidden="false" customHeight="true" outlineLevel="0" collapsed="false">
      <c r="B24" s="103" t="s">
        <v>9</v>
      </c>
      <c r="C24" s="104" t="s">
        <v>150</v>
      </c>
      <c r="D24" s="104" t="s">
        <v>151</v>
      </c>
    </row>
    <row r="25" customFormat="false" ht="39" hidden="false" customHeight="true" outlineLevel="0" collapsed="false">
      <c r="B25" s="101" t="s">
        <v>10</v>
      </c>
      <c r="C25" s="102" t="s">
        <v>152</v>
      </c>
      <c r="D25" s="102" t="s">
        <v>153</v>
      </c>
    </row>
    <row r="26" customFormat="false" ht="39" hidden="false" customHeight="true" outlineLevel="0" collapsed="false">
      <c r="B26" s="103" t="s">
        <v>11</v>
      </c>
      <c r="C26" s="104" t="s">
        <v>154</v>
      </c>
      <c r="D26" s="104" t="s">
        <v>155</v>
      </c>
    </row>
    <row r="27" customFormat="false" ht="50.25" hidden="false" customHeight="true" outlineLevel="0" collapsed="false">
      <c r="B27" s="101" t="s">
        <v>156</v>
      </c>
      <c r="C27" s="102" t="s">
        <v>157</v>
      </c>
      <c r="D27" s="102" t="s">
        <v>158</v>
      </c>
    </row>
    <row r="28" customFormat="false" ht="50.25" hidden="false" customHeight="true" outlineLevel="0" collapsed="false">
      <c r="B28" s="103" t="s">
        <v>18</v>
      </c>
      <c r="C28" s="104" t="s">
        <v>159</v>
      </c>
      <c r="D28" s="104" t="s">
        <v>160</v>
      </c>
    </row>
    <row r="31" customFormat="false" ht="21.75" hidden="false" customHeight="true" outlineLevel="0" collapsed="false">
      <c r="B31" s="91" t="s">
        <v>161</v>
      </c>
      <c r="C31" s="91"/>
      <c r="D31" s="91"/>
    </row>
    <row r="32" customFormat="false" ht="12" hidden="false" customHeight="true" outlineLevel="0" collapsed="false">
      <c r="B32" s="99" t="s">
        <v>162</v>
      </c>
      <c r="C32" s="99"/>
      <c r="D32" s="99"/>
    </row>
    <row r="33" customFormat="false" ht="12" hidden="false" customHeight="true" outlineLevel="0" collapsed="false">
      <c r="B33" s="99"/>
      <c r="C33" s="99"/>
      <c r="D33" s="99"/>
    </row>
    <row r="34" customFormat="false" ht="12" hidden="false" customHeight="true" outlineLevel="0" collapsed="false">
      <c r="B34" s="99"/>
      <c r="C34" s="99"/>
      <c r="D34" s="99"/>
    </row>
    <row r="36" customFormat="false" ht="18" hidden="false" customHeight="true" outlineLevel="0" collapsed="false">
      <c r="B36" s="100" t="s">
        <v>163</v>
      </c>
      <c r="C36" s="100" t="s">
        <v>164</v>
      </c>
      <c r="D36" s="100" t="s">
        <v>165</v>
      </c>
    </row>
    <row r="37" customFormat="false" ht="39" hidden="false" customHeight="true" outlineLevel="0" collapsed="false">
      <c r="B37" s="101" t="s">
        <v>166</v>
      </c>
      <c r="C37" s="102" t="s">
        <v>167</v>
      </c>
      <c r="D37" s="102" t="s">
        <v>168</v>
      </c>
    </row>
    <row r="38" customFormat="false" ht="39" hidden="false" customHeight="true" outlineLevel="0" collapsed="false">
      <c r="B38" s="103" t="s">
        <v>169</v>
      </c>
      <c r="C38" s="104" t="s">
        <v>170</v>
      </c>
      <c r="D38" s="104" t="s">
        <v>171</v>
      </c>
    </row>
    <row r="39" customFormat="false" ht="39" hidden="false" customHeight="true" outlineLevel="0" collapsed="false">
      <c r="B39" s="101" t="s">
        <v>172</v>
      </c>
      <c r="C39" s="102" t="s">
        <v>173</v>
      </c>
      <c r="D39" s="102" t="s">
        <v>174</v>
      </c>
    </row>
    <row r="41" customFormat="false" ht="12" hidden="false" customHeight="true" outlineLevel="0" collapsed="false">
      <c r="B41" s="99" t="s">
        <v>175</v>
      </c>
      <c r="C41" s="99"/>
      <c r="D41" s="99"/>
    </row>
    <row r="42" customFormat="false" ht="12" hidden="false" customHeight="true" outlineLevel="0" collapsed="false">
      <c r="B42" s="99"/>
      <c r="C42" s="99"/>
      <c r="D42" s="99"/>
    </row>
    <row r="43" customFormat="false" ht="12" hidden="false" customHeight="true" outlineLevel="0" collapsed="false">
      <c r="B43" s="99"/>
      <c r="C43" s="99"/>
      <c r="D43" s="99"/>
    </row>
    <row r="44" customFormat="false" ht="12" hidden="false" customHeight="true" outlineLevel="0" collapsed="false">
      <c r="B44" s="99"/>
      <c r="C44" s="99"/>
      <c r="D44" s="99"/>
    </row>
    <row r="46" customFormat="false" ht="12" hidden="false" customHeight="true" outlineLevel="0" collapsed="false">
      <c r="B46" s="99" t="s">
        <v>176</v>
      </c>
      <c r="C46" s="99"/>
      <c r="D46" s="99"/>
    </row>
    <row r="47" customFormat="false" ht="12" hidden="false" customHeight="true" outlineLevel="0" collapsed="false">
      <c r="B47" s="99"/>
      <c r="C47" s="99"/>
      <c r="D47" s="99"/>
    </row>
    <row r="48" customFormat="false" ht="12" hidden="false" customHeight="true" outlineLevel="0" collapsed="false">
      <c r="B48" s="99"/>
      <c r="C48" s="99"/>
      <c r="D48" s="99"/>
    </row>
    <row r="49" customFormat="false" ht="12" hidden="false" customHeight="true" outlineLevel="0" collapsed="false">
      <c r="B49" s="99"/>
      <c r="C49" s="99"/>
      <c r="D49" s="99"/>
    </row>
    <row r="52" customFormat="false" ht="21.75" hidden="false" customHeight="true" outlineLevel="0" collapsed="false">
      <c r="B52" s="91" t="s">
        <v>177</v>
      </c>
      <c r="C52" s="91"/>
      <c r="D52" s="91"/>
    </row>
    <row r="53" customFormat="false" ht="12" hidden="false" customHeight="true" outlineLevel="0" collapsed="false">
      <c r="B53" s="99" t="s">
        <v>178</v>
      </c>
      <c r="C53" s="99"/>
      <c r="D53" s="99"/>
    </row>
    <row r="54" customFormat="false" ht="12" hidden="false" customHeight="true" outlineLevel="0" collapsed="false">
      <c r="B54" s="99"/>
      <c r="C54" s="99"/>
      <c r="D54" s="99"/>
    </row>
    <row r="55" customFormat="false" ht="12" hidden="false" customHeight="true" outlineLevel="0" collapsed="false">
      <c r="B55" s="99"/>
      <c r="C55" s="99"/>
      <c r="D55" s="99"/>
    </row>
    <row r="57" customFormat="false" ht="12" hidden="false" customHeight="true" outlineLevel="0" collapsed="false">
      <c r="B57" s="99" t="s">
        <v>179</v>
      </c>
      <c r="C57" s="99"/>
      <c r="D57" s="99"/>
    </row>
    <row r="58" customFormat="false" ht="12" hidden="false" customHeight="true" outlineLevel="0" collapsed="false">
      <c r="B58" s="99"/>
      <c r="C58" s="99"/>
      <c r="D58" s="99"/>
    </row>
    <row r="60" customFormat="false" ht="12" hidden="false" customHeight="true" outlineLevel="0" collapsed="false">
      <c r="B60" s="99" t="s">
        <v>180</v>
      </c>
      <c r="C60" s="99"/>
      <c r="D60" s="99"/>
    </row>
    <row r="61" customFormat="false" ht="12" hidden="false" customHeight="true" outlineLevel="0" collapsed="false">
      <c r="B61" s="99"/>
      <c r="C61" s="99"/>
      <c r="D61" s="99"/>
    </row>
    <row r="62" customFormat="false" ht="12" hidden="false" customHeight="true" outlineLevel="0" collapsed="false">
      <c r="B62" s="99"/>
      <c r="C62" s="99"/>
      <c r="D62" s="99"/>
    </row>
    <row r="64" customFormat="false" ht="12" hidden="false" customHeight="true" outlineLevel="0" collapsed="false">
      <c r="B64" s="99" t="s">
        <v>181</v>
      </c>
      <c r="C64" s="99"/>
      <c r="D64" s="99"/>
    </row>
    <row r="65" customFormat="false" ht="12" hidden="false" customHeight="true" outlineLevel="0" collapsed="false">
      <c r="B65" s="99"/>
      <c r="C65" s="99"/>
      <c r="D65" s="99"/>
    </row>
    <row r="66" customFormat="false" ht="12" hidden="false" customHeight="true" outlineLevel="0" collapsed="false">
      <c r="B66" s="99"/>
      <c r="C66" s="99"/>
      <c r="D66" s="99"/>
    </row>
    <row r="68" customFormat="false" ht="12" hidden="false" customHeight="true" outlineLevel="0" collapsed="false">
      <c r="B68" s="99" t="s">
        <v>182</v>
      </c>
      <c r="C68" s="99"/>
      <c r="D68" s="99"/>
    </row>
    <row r="69" customFormat="false" ht="12" hidden="false" customHeight="true" outlineLevel="0" collapsed="false">
      <c r="B69" s="99"/>
      <c r="C69" s="99"/>
      <c r="D69" s="99"/>
    </row>
    <row r="71" customFormat="false" ht="12" hidden="false" customHeight="true" outlineLevel="0" collapsed="false">
      <c r="B71" s="99" t="s">
        <v>183</v>
      </c>
      <c r="C71" s="99"/>
      <c r="D71" s="99"/>
    </row>
    <row r="72" customFormat="false" ht="12" hidden="false" customHeight="true" outlineLevel="0" collapsed="false">
      <c r="B72" s="99"/>
      <c r="C72" s="99"/>
      <c r="D72" s="99"/>
    </row>
    <row r="73" customFormat="false" ht="12" hidden="false" customHeight="true" outlineLevel="0" collapsed="false">
      <c r="B73" s="99"/>
      <c r="C73" s="99"/>
      <c r="D73" s="99"/>
    </row>
    <row r="76" customFormat="false" ht="21.75" hidden="false" customHeight="true" outlineLevel="0" collapsed="false">
      <c r="B76" s="91" t="s">
        <v>184</v>
      </c>
      <c r="C76" s="91"/>
      <c r="D76" s="91"/>
    </row>
    <row r="77" customFormat="false" ht="18" hidden="false" customHeight="true" outlineLevel="0" collapsed="false">
      <c r="B77" s="100" t="s">
        <v>185</v>
      </c>
      <c r="C77" s="100" t="s">
        <v>186</v>
      </c>
      <c r="D77" s="100" t="s">
        <v>187</v>
      </c>
    </row>
    <row r="78" customFormat="false" ht="39" hidden="false" customHeight="true" outlineLevel="0" collapsed="false">
      <c r="B78" s="101" t="s">
        <v>188</v>
      </c>
      <c r="C78" s="102" t="s">
        <v>189</v>
      </c>
      <c r="D78" s="102" t="s">
        <v>190</v>
      </c>
    </row>
    <row r="79" customFormat="false" ht="39" hidden="false" customHeight="true" outlineLevel="0" collapsed="false">
      <c r="B79" s="103" t="s">
        <v>34</v>
      </c>
      <c r="C79" s="104" t="s">
        <v>191</v>
      </c>
      <c r="D79" s="104" t="s">
        <v>192</v>
      </c>
    </row>
    <row r="80" customFormat="false" ht="27.75" hidden="false" customHeight="true" outlineLevel="0" collapsed="false">
      <c r="B80" s="101" t="s">
        <v>79</v>
      </c>
      <c r="C80" s="102" t="s">
        <v>193</v>
      </c>
      <c r="D80" s="102" t="s">
        <v>194</v>
      </c>
    </row>
    <row r="81" customFormat="false" ht="61.5" hidden="false" customHeight="true" outlineLevel="0" collapsed="false">
      <c r="B81" s="103" t="s">
        <v>195</v>
      </c>
      <c r="C81" s="104" t="s">
        <v>196</v>
      </c>
      <c r="D81" s="104" t="s">
        <v>197</v>
      </c>
    </row>
    <row r="82" customFormat="false" ht="72.75" hidden="false" customHeight="true" outlineLevel="0" collapsed="false">
      <c r="B82" s="101" t="s">
        <v>198</v>
      </c>
      <c r="C82" s="102" t="s">
        <v>199</v>
      </c>
      <c r="D82" s="102" t="s">
        <v>200</v>
      </c>
    </row>
    <row r="83" customFormat="false" ht="19.5" hidden="false" customHeight="true" outlineLevel="0" collapsed="false">
      <c r="B83" s="103" t="s">
        <v>201</v>
      </c>
      <c r="C83" s="104" t="s">
        <v>202</v>
      </c>
      <c r="D83" s="104" t="s">
        <v>203</v>
      </c>
    </row>
    <row r="84" customFormat="false" ht="27.75" hidden="false" customHeight="true" outlineLevel="0" collapsed="false">
      <c r="B84" s="101" t="s">
        <v>204</v>
      </c>
      <c r="C84" s="102" t="s">
        <v>205</v>
      </c>
      <c r="D84" s="102" t="s">
        <v>206</v>
      </c>
    </row>
    <row r="85" customFormat="false" ht="84.75" hidden="false" customHeight="true" outlineLevel="0" collapsed="false">
      <c r="B85" s="103" t="s">
        <v>207</v>
      </c>
      <c r="C85" s="104" t="s">
        <v>208</v>
      </c>
      <c r="D85" s="104" t="s">
        <v>209</v>
      </c>
    </row>
    <row r="86" customFormat="false" ht="61.5" hidden="false" customHeight="true" outlineLevel="0" collapsed="false">
      <c r="B86" s="101" t="s">
        <v>210</v>
      </c>
      <c r="C86" s="102" t="s">
        <v>211</v>
      </c>
      <c r="D86" s="102" t="s">
        <v>212</v>
      </c>
    </row>
    <row r="88" customFormat="false" ht="12" hidden="false" customHeight="true" outlineLevel="0" collapsed="false">
      <c r="B88" s="98" t="s">
        <v>213</v>
      </c>
      <c r="C88" s="98"/>
      <c r="D88" s="98"/>
    </row>
    <row r="89" customFormat="false" ht="12" hidden="false" customHeight="true" outlineLevel="0" collapsed="false">
      <c r="B89" s="98"/>
      <c r="C89" s="98"/>
      <c r="D89" s="98"/>
    </row>
    <row r="90" customFormat="false" ht="12" hidden="false" customHeight="true" outlineLevel="0" collapsed="false">
      <c r="B90" s="98"/>
      <c r="C90" s="98"/>
      <c r="D90" s="98"/>
    </row>
  </sheetData>
  <mergeCells count="19">
    <mergeCell ref="B1:D1"/>
    <mergeCell ref="B2:D3"/>
    <mergeCell ref="B6:D6"/>
    <mergeCell ref="B7:D10"/>
    <mergeCell ref="B12:D16"/>
    <mergeCell ref="B19:D19"/>
    <mergeCell ref="B31:D31"/>
    <mergeCell ref="B32:D34"/>
    <mergeCell ref="B41:D44"/>
    <mergeCell ref="B46:D49"/>
    <mergeCell ref="B52:D52"/>
    <mergeCell ref="B53:D55"/>
    <mergeCell ref="B57:D58"/>
    <mergeCell ref="B60:D62"/>
    <mergeCell ref="B64:D66"/>
    <mergeCell ref="B68:D69"/>
    <mergeCell ref="B71:D73"/>
    <mergeCell ref="B76:D76"/>
    <mergeCell ref="B88:D9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2026-10-12T23:16:33Z</dcterms:created>
  <dc:creator>openpyxl</dc:creator>
  <dc:description/>
  <dc:language>en-US</dc:language>
  <cp:lastModifiedBy/>
  <dcterms:modified xsi:type="dcterms:W3CDTF">2026-10-12T23:16:33Z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